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Feature Guide" sheetId="2" state="visible" r:id="rId2"/>
    <sheet name="Test Cases" sheetId="3" state="visible" r:id="rId3"/>
    <sheet name="Defect Log" sheetId="4" state="visible" r:id="rId4"/>
    <sheet name="Summary" sheetId="5" state="visible" r:id="rId5"/>
  </sheets>
  <definedNames>
    <definedName name="_xlnm._FilterDatabase" localSheetId="1" hidden="1">'Feature Guide'!$A$1:$G$22</definedName>
    <definedName name="_xlnm._FilterDatabase" localSheetId="2" hidden="1">'Test Cases'!$A$1:$P$139</definedName>
    <definedName name="_xlnm._FilterDatabase" localSheetId="3" hidden="1">'Defect Log'!$A$1:$L$45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1">
    <font>
      <name val="Calibri"/>
      <family val="2"/>
      <color theme="1"/>
      <sz val="11"/>
      <scheme val="minor"/>
    </font>
    <font>
      <name val="Segoe UI"/>
      <b val="1"/>
      <color rgb="001F2937"/>
      <sz val="18"/>
    </font>
    <font>
      <name val="Segoe UI"/>
      <color rgb="005B6779"/>
      <sz val="11"/>
    </font>
    <font>
      <name val="Segoe UI"/>
      <i val="1"/>
      <color rgb="008E9AAC"/>
      <sz val="10"/>
    </font>
    <font>
      <name val="Segoe UI"/>
      <b val="1"/>
      <color rgb="001D4ED8"/>
      <sz val="10"/>
    </font>
    <font>
      <name val="Segoe UI"/>
      <b val="1"/>
      <color rgb="001F2937"/>
      <sz val="10"/>
    </font>
    <font>
      <name val="Segoe UI"/>
      <color rgb="00374151"/>
      <sz val="10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  <font>
      <name val="Consolas"/>
      <sz val="9"/>
    </font>
    <font>
      <name val="Segoe UI"/>
      <sz val="9.5"/>
    </font>
    <font>
      <name val="Consolas"/>
      <b val="1"/>
      <sz val="9.5"/>
    </font>
    <font>
      <name val="Segoe UI"/>
      <b val="1"/>
      <sz val="9.5"/>
    </font>
    <font>
      <name val="Segoe UI"/>
      <b val="1"/>
      <color rgb="00B4232B"/>
      <sz val="9.5"/>
    </font>
    <font>
      <name val="Segoe UI"/>
      <b val="1"/>
      <color rgb="009A5B08"/>
      <sz val="9.5"/>
    </font>
    <font>
      <name val="Segoe UI"/>
      <b val="1"/>
      <color rgb="005B6779"/>
      <sz val="9.5"/>
    </font>
    <font>
      <name val="Segoe UI"/>
      <b val="1"/>
      <color rgb="001F2937"/>
      <sz val="16"/>
    </font>
    <font>
      <name val="Consolas"/>
      <b val="1"/>
      <sz val="13"/>
    </font>
    <font>
      <name val="Consolas"/>
      <b val="1"/>
      <color rgb="00146B3E"/>
      <sz val="13"/>
    </font>
    <font>
      <name val="Consolas"/>
      <b val="1"/>
      <color rgb="00B4232B"/>
      <sz val="13"/>
    </font>
  </fonts>
  <fills count="7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F7F9FC"/>
      </patternFill>
    </fill>
    <fill>
      <patternFill patternType="solid">
        <fgColor rgb="00EFFAF3"/>
      </patternFill>
    </fill>
    <fill>
      <patternFill patternType="solid">
        <fgColor rgb="00FDF1F1"/>
      </patternFill>
    </fill>
    <fill>
      <patternFill patternType="solid">
        <fgColor rgb="00FEF8EC"/>
      </patternFill>
    </fill>
  </fills>
  <borders count="2">
    <border>
      <left/>
      <right/>
      <top/>
      <bottom/>
      <diagonal/>
    </border>
    <border>
      <left style="thin">
        <color rgb="00D8DEE9"/>
      </left>
      <right style="thin">
        <color rgb="00D8DEE9"/>
      </right>
      <top style="thin">
        <color rgb="00D8DEE9"/>
      </top>
      <bottom style="thin">
        <color rgb="00D8DEE9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  <xf numFmtId="0" fontId="10" fillId="3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3" fillId="4" borderId="1" applyAlignment="1" pivotButton="0" quotePrefix="0" xfId="0">
      <alignment vertical="top" wrapText="1"/>
    </xf>
    <xf numFmtId="0" fontId="14" fillId="0" borderId="1" applyAlignment="1" pivotButton="0" quotePrefix="0" xfId="0">
      <alignment horizontal="center" vertical="top"/>
    </xf>
    <xf numFmtId="0" fontId="13" fillId="0" borderId="1" applyAlignment="1" pivotButton="0" quotePrefix="0" xfId="0">
      <alignment vertical="top" wrapText="1"/>
    </xf>
    <xf numFmtId="0" fontId="15" fillId="0" borderId="1" applyAlignment="1" pivotButton="0" quotePrefix="0" xfId="0">
      <alignment horizontal="center" vertical="top"/>
    </xf>
    <xf numFmtId="0" fontId="16" fillId="0" borderId="1" applyAlignment="1" pivotButton="0" quotePrefix="0" xfId="0">
      <alignment horizontal="center" vertical="top"/>
    </xf>
    <xf numFmtId="0" fontId="13" fillId="5" borderId="1" applyAlignment="1" pivotButton="0" quotePrefix="0" xfId="0">
      <alignment vertical="top" wrapText="1"/>
    </xf>
    <xf numFmtId="0" fontId="13" fillId="6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0" fillId="0" borderId="1" pivotButton="0" quotePrefix="0" xfId="0"/>
    <xf numFmtId="0" fontId="17" fillId="0" borderId="0" pivotButton="0" quotePrefix="0" xfId="0"/>
    <xf numFmtId="0" fontId="7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/>
    </xf>
    <xf numFmtId="0" fontId="19" fillId="0" borderId="1" applyAlignment="1" pivotButton="0" quotePrefix="0" xfId="0">
      <alignment horizontal="center"/>
    </xf>
    <xf numFmtId="0" fontId="20" fillId="0" borderId="1" applyAlignment="1" pivotButton="0" quotePrefix="0" xfId="0">
      <alignment horizontal="center"/>
    </xf>
    <xf numFmtId="164" fontId="18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3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96" customWidth="1" min="3" max="3"/>
  </cols>
  <sheetData>
    <row r="1">
      <c r="B1" s="1" t="inlineStr">
        <is>
          <t>CareerPilot — Manual Test Plan</t>
        </is>
      </c>
    </row>
    <row r="2">
      <c r="B2" s="2" t="inlineStr">
        <is>
          <t>End-to-end manual QA for the CareerPilot module, student and admin.</t>
        </is>
      </c>
    </row>
    <row r="3">
      <c r="B3" s="3" t="inlineStr">
        <is>
          <t>Version 1.0 · 12 August 2026 · built against commit 1b5f0c3b</t>
        </is>
      </c>
    </row>
    <row r="6">
      <c r="B6" s="4" t="inlineStr">
        <is>
          <t>WHAT IS IN THIS FILE</t>
        </is>
      </c>
    </row>
    <row r="7" ht="30" customHeight="1">
      <c r="B7" s="5" t="inlineStr">
        <is>
          <t>Feature Guide</t>
        </is>
      </c>
      <c r="C7" s="6" t="inlineStr">
        <is>
          <t>Every feature explained — what it is, why it exists, when a student meets it, and where it lives. Read this before writing a single result.</t>
        </is>
      </c>
    </row>
    <row r="8" ht="30" customHeight="1">
      <c r="B8" s="5" t="inlineStr">
        <is>
          <t>Test Cases</t>
        </is>
      </c>
      <c r="C8" s="6" t="inlineStr">
        <is>
          <t>The full suite. Filter by Module, Feature, Type or Priority. Fill in Result, Tested By, Date and Defect Ref as you go.</t>
        </is>
      </c>
    </row>
    <row r="9" ht="30" customHeight="1">
      <c r="B9" s="5" t="inlineStr">
        <is>
          <t>Defect Log</t>
        </is>
      </c>
      <c r="C9" s="6" t="inlineStr">
        <is>
          <t>One row per defect found. Reference the Test Case ID.</t>
        </is>
      </c>
    </row>
    <row r="10" ht="30" customHeight="1">
      <c r="B10" s="5" t="inlineStr">
        <is>
          <t>Summary</t>
        </is>
      </c>
      <c r="C10" s="6" t="inlineStr">
        <is>
          <t>Live counts. It reads the Test Cases sheet automatically — do not type into it.</t>
        </is>
      </c>
    </row>
    <row r="12">
      <c r="B12" s="4" t="inlineStr">
        <is>
          <t>HOW TO RUN A PASS</t>
        </is>
      </c>
    </row>
    <row r="13" ht="30" customHeight="1">
      <c r="B13" s="5" t="inlineStr">
        <is>
          <t>1. Set up accounts</t>
        </is>
      </c>
      <c r="C13" s="6" t="inlineStr">
        <is>
          <t>You need FOUR: a brand-new unregistered mobile, a free member, a PAID member, and an admin. Most defects hide at the boundary between free and paid.</t>
        </is>
      </c>
    </row>
    <row r="14" ht="30" customHeight="1">
      <c r="B14" s="5" t="inlineStr">
        <is>
          <t>2. Work top to bottom</t>
        </is>
      </c>
      <c r="C14" s="6" t="inlineStr">
        <is>
          <t>Cases are ordered as a real student meets them. Running them out of order creates preconditions you do not have.</t>
        </is>
      </c>
    </row>
    <row r="15" ht="30" customHeight="1">
      <c r="B15" s="5" t="inlineStr">
        <is>
          <t>3. Record what you saw</t>
        </is>
      </c>
      <c r="C15" s="6" t="inlineStr">
        <is>
          <t>If a case fails, write what ACTUALLY happened in Actual Result. 'Failed' on its own cannot be fixed.</t>
        </is>
      </c>
    </row>
    <row r="16" ht="30" customHeight="1">
      <c r="B16" s="5" t="inlineStr">
        <is>
          <t>4. Raise the defect</t>
        </is>
      </c>
      <c r="C16" s="6" t="inlineStr">
        <is>
          <t>Log it in Defect Log and put its reference on the test case row.</t>
        </is>
      </c>
    </row>
    <row r="18">
      <c r="B18" s="4" t="inlineStr">
        <is>
          <t>PRIORITIES</t>
        </is>
      </c>
    </row>
    <row r="19" ht="30" customHeight="1">
      <c r="B19" s="5" t="inlineStr">
        <is>
          <t>P0</t>
        </is>
      </c>
      <c r="C19" s="6" t="inlineStr">
        <is>
          <t>Blocks release. A student cannot complete a core journey, money is at risk, or data leaks.</t>
        </is>
      </c>
    </row>
    <row r="20" ht="30" customHeight="1">
      <c r="B20" s="5" t="inlineStr">
        <is>
          <t>P1</t>
        </is>
      </c>
      <c r="C20" s="6" t="inlineStr">
        <is>
          <t>Important. Works but is wrong, confusing, or fails on a common path.</t>
        </is>
      </c>
    </row>
    <row r="21" ht="30" customHeight="1">
      <c r="B21" s="5" t="inlineStr">
        <is>
          <t>P2</t>
        </is>
      </c>
      <c r="C21" s="6" t="inlineStr">
        <is>
          <t>Worth fixing. Cosmetic, rare, or an edge case with a workaround.</t>
        </is>
      </c>
    </row>
    <row r="23">
      <c r="B23" s="4" t="inlineStr">
        <is>
          <t>CASE TYPES</t>
        </is>
      </c>
    </row>
    <row r="24" ht="30" customHeight="1">
      <c r="B24" s="5" t="inlineStr">
        <is>
          <t>Positive</t>
        </is>
      </c>
      <c r="C24" s="6" t="inlineStr">
        <is>
          <t>The happy path — the thing works as intended for someone doing it correctly.</t>
        </is>
      </c>
    </row>
    <row r="25" ht="30" customHeight="1">
      <c r="B25" s="5" t="inlineStr">
        <is>
          <t>Negative</t>
        </is>
      </c>
      <c r="C25" s="6" t="inlineStr">
        <is>
          <t>Wrong input, wrong state, wrong permission. The system must refuse clearly and safely.</t>
        </is>
      </c>
    </row>
    <row r="26" ht="30" customHeight="1">
      <c r="B26" s="5" t="inlineStr">
        <is>
          <t>Corner</t>
        </is>
      </c>
      <c r="C26" s="6" t="inlineStr">
        <is>
          <t>Boundaries and collisions — midnight, expiry, concurrency, a rotated phone, a replayed request. This is where the real defects live.</t>
        </is>
      </c>
    </row>
    <row r="28">
      <c r="B28" s="4" t="inlineStr">
        <is>
          <t>KNOWN GAPS — EXPECT THESE TO FAIL</t>
        </is>
      </c>
    </row>
    <row r="29" ht="30" customHeight="1">
      <c r="B29" s="5" t="inlineStr">
        <is>
          <t>Price is ₹499</t>
        </is>
      </c>
      <c r="C29" s="6" t="inlineStr">
        <is>
          <t>Production is configured at 499, not 1,599. TC-MEM-002 will fail until it is corrected.</t>
        </is>
      </c>
    </row>
    <row r="30" ht="30" customHeight="1">
      <c r="B30" s="5" t="inlineStr">
        <is>
          <t>No interview quota</t>
        </is>
      </c>
      <c r="C30" s="6" t="inlineStr">
        <is>
          <t>12 per member per year was specified but never implemented. TC-INT-006 will fail. It is an uncapped cost, not a cosmetic issue.</t>
        </is>
      </c>
    </row>
    <row r="31" ht="30" customHeight="1">
      <c r="B31" s="5" t="inlineStr">
        <is>
          <t>Coins cannot be spent</t>
        </is>
      </c>
      <c r="C31" s="6" t="inlineStr">
        <is>
          <t>Earning works; spending does not exist. TC-CON-004 documents the expected state.</t>
        </is>
      </c>
    </row>
    <row r="32" ht="30" customHeight="1">
      <c r="B32" s="5" t="inlineStr">
        <is>
          <t>2 entitlements missing</t>
        </is>
      </c>
      <c r="C32" s="6" t="inlineStr">
        <is>
          <t>Production config holds 9 of 11 features. TC-CFG-004 will fail.</t>
        </is>
      </c>
    </row>
    <row r="33" ht="30" customHeight="1">
      <c r="B33" s="5" t="inlineStr">
        <is>
          <t>0 companies live</t>
        </is>
      </c>
      <c r="C33" s="6" t="inlineStr">
        <is>
          <t>Until a company clears the readiness bar, every Prepare Interviews and Mock Test case is blocked. Take Cognizant live first — it needs 10 more questions.</t>
        </is>
      </c>
    </row>
    <row r="34" ht="30" customHeight="1">
      <c r="B34" s="5" t="inlineStr">
        <is>
          <t>Payment never tested</t>
        </is>
      </c>
      <c r="C34" s="6" t="inlineStr">
        <is>
          <t>No membership has ever been purchased in production. Treat TC-MEM-001 as the highest-risk case in this document.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6" customWidth="1" min="3" max="3"/>
    <col width="46" customWidth="1" min="4" max="4"/>
    <col width="58" customWidth="1" min="5" max="5"/>
    <col width="34" customWidth="1" min="6" max="6"/>
    <col width="40" customWidth="1" min="7" max="7"/>
  </cols>
  <sheetData>
    <row r="1" ht="30" customHeight="1">
      <c r="A1" s="7" t="inlineStr">
        <is>
          <t>#</t>
        </is>
      </c>
      <c r="B1" s="7" t="inlineStr">
        <is>
          <t>Module</t>
        </is>
      </c>
      <c r="C1" s="7" t="inlineStr">
        <is>
          <t>Feature</t>
        </is>
      </c>
      <c r="D1" s="7" t="inlineStr">
        <is>
          <t>What it is</t>
        </is>
      </c>
      <c r="E1" s="7" t="inlineStr">
        <is>
          <t>Why it exists</t>
        </is>
      </c>
      <c r="F1" s="7" t="inlineStr">
        <is>
          <t>When a student meets it</t>
        </is>
      </c>
      <c r="G1" s="7" t="inlineStr">
        <is>
          <t>Where it lives</t>
        </is>
      </c>
    </row>
    <row r="2" ht="62" customHeight="1">
      <c r="A2" s="8" t="n">
        <v>1</v>
      </c>
      <c r="B2" s="8" t="inlineStr">
        <is>
          <t>Student</t>
        </is>
      </c>
      <c r="C2" s="9" t="inlineStr">
        <is>
          <t>Join, OTP &amp; Login</t>
        </is>
      </c>
      <c r="D2" s="8" t="inlineStr">
        <is>
          <t>Registration by mobile with a WhatsApp OTP, plus password login once set.</t>
        </is>
      </c>
      <c r="E2" s="8" t="inlineStr">
        <is>
          <t>It is the front door. Everything else in CareerPilot is gated on an identity, and a stranger has to become a known member without a salesperson touching them.</t>
        </is>
      </c>
      <c r="F2" s="8" t="inlineStr">
        <is>
          <t>First contact — from an ad, a college drive, or a shared passport card.</t>
        </is>
      </c>
      <c r="G2" s="10" t="inlineStr">
        <is>
          <t>/careerpilot/join · /careerpilot/login</t>
        </is>
      </c>
    </row>
    <row r="3" ht="62" customHeight="1">
      <c r="A3" s="11" t="n">
        <v>2</v>
      </c>
      <c r="B3" s="11" t="inlineStr">
        <is>
          <t>Student</t>
        </is>
      </c>
      <c r="C3" s="12" t="inlineStr">
        <is>
          <t>Career Readiness Assessment</t>
        </is>
      </c>
      <c r="D3" s="11" t="inlineStr">
        <is>
          <t>A free, deterministic (non-AI) assessment producing a career score, level and pathway.</t>
        </is>
      </c>
      <c r="E3" s="11" t="inlineStr">
        <is>
          <t>It is the hook and the qualifier. Free so anyone will start it; deterministic so it costs nothing to run at volume; scored so the paid roadmap feels earned rather than sold.</t>
        </is>
      </c>
      <c r="F3" s="11" t="inlineStr">
        <is>
          <t>Immediately after joining, before any payment is asked for.</t>
        </is>
      </c>
      <c r="G3" s="13" t="inlineStr">
        <is>
          <t>/careerpilot/assessment</t>
        </is>
      </c>
    </row>
    <row r="4" ht="62" customHeight="1">
      <c r="A4" s="8" t="n">
        <v>3</v>
      </c>
      <c r="B4" s="8" t="inlineStr">
        <is>
          <t>Student</t>
        </is>
      </c>
      <c r="C4" s="9" t="inlineStr">
        <is>
          <t>Membership &amp; Payment</t>
        </is>
      </c>
      <c r="D4" s="8" t="inlineStr">
        <is>
          <t>₹1,599/year membership purchased through Razorpay, unlocking all paid entitlements.</t>
        </is>
      </c>
      <c r="E4" s="8" t="inlineStr">
        <is>
          <t>The only revenue event in the module. Everything upstream is designed to reach it and everything downstream is designed to justify it.</t>
        </is>
      </c>
      <c r="F4" s="8" t="inlineStr">
        <is>
          <t>When a student hits any paid feature, or from the result screen after the assessment.</t>
        </is>
      </c>
      <c r="G4" s="10" t="inlineStr">
        <is>
          <t>Any locked feature → Buy prompt → Razorpay checkout</t>
        </is>
      </c>
    </row>
    <row r="5" ht="62" customHeight="1">
      <c r="A5" s="11" t="n">
        <v>4</v>
      </c>
      <c r="B5" s="11" t="inlineStr">
        <is>
          <t>Student</t>
        </is>
      </c>
      <c r="C5" s="12" t="inlineStr">
        <is>
          <t>Mission Control &amp; Streak</t>
        </is>
      </c>
      <c r="D5" s="11" t="inlineStr">
        <is>
          <t>A daily set of missions with a streak counter and a nightly close job.</t>
        </is>
      </c>
      <c r="E5" s="11" t="inlineStr">
        <is>
          <t>A yearly membership dies without a reason to open the app on a Tuesday. The streak is the retention mechanic that turns a purchase into a habit.</t>
        </is>
      </c>
      <c r="F5" s="11" t="inlineStr">
        <is>
          <t>Every day, as the member's landing surface.</t>
        </is>
      </c>
      <c r="G5" s="13" t="inlineStr">
        <is>
          <t>/careerpilot</t>
        </is>
      </c>
    </row>
    <row r="6" ht="62" customHeight="1">
      <c r="A6" s="8" t="n">
        <v>5</v>
      </c>
      <c r="B6" s="8" t="inlineStr">
        <is>
          <t>Student</t>
        </is>
      </c>
      <c r="C6" s="9" t="inlineStr">
        <is>
          <t>90-Day Roadmap</t>
        </is>
      </c>
      <c r="D6" s="8" t="inlineStr">
        <is>
          <t>A personalised plan derived from the assessment. 7 days free, the full 90 paid.</t>
        </is>
      </c>
      <c r="E6" s="8" t="inlineStr">
        <is>
          <t>Converts a score into a plan. The paywall sits exactly where the value becomes obvious — the student can see the shape of the plan before being asked to pay for the rest.</t>
        </is>
      </c>
      <c r="F6" s="8" t="inlineStr">
        <is>
          <t>Straight after the assessment result, and revisited weekly.</t>
        </is>
      </c>
      <c r="G6" s="10" t="inlineStr">
        <is>
          <t>/careerpilot/roadmap</t>
        </is>
      </c>
    </row>
    <row r="7" ht="62" customHeight="1">
      <c r="A7" s="11" t="n">
        <v>6</v>
      </c>
      <c r="B7" s="11" t="inlineStr">
        <is>
          <t>Student</t>
        </is>
      </c>
      <c r="C7" s="12" t="inlineStr">
        <is>
          <t>Practice — Coding, SQL, MCQ</t>
        </is>
      </c>
      <c r="D7" s="11" t="inlineStr">
        <is>
          <t>Runnable practice problems executed in a sandbox, with saved submissions.</t>
        </is>
      </c>
      <c r="E7" s="11" t="inlineStr">
        <is>
          <t>The daily habit that makes the membership feel used. Real execution, not multiple choice, because employers test code.</t>
        </is>
      </c>
      <c r="F7" s="11" t="inlineStr">
        <is>
          <t>Daily, usually alongside the day's mission.</t>
        </is>
      </c>
      <c r="G7" s="13" t="inlineStr">
        <is>
          <t>/careerpilot/practice · /careerpilot/practice/:id</t>
        </is>
      </c>
    </row>
    <row r="8" ht="62" customHeight="1">
      <c r="A8" s="8" t="n">
        <v>7</v>
      </c>
      <c r="B8" s="8" t="inlineStr">
        <is>
          <t>Student</t>
        </is>
      </c>
      <c r="C8" s="9" t="inlineStr">
        <is>
          <t>Resume Centre</t>
        </is>
      </c>
      <c r="D8" s="8" t="inlineStr">
        <is>
          <t>Build, import, AI-improve and AI-score a resume.</t>
        </is>
      </c>
      <c r="E8" s="8" t="inlineStr">
        <is>
          <t>The artefact a student actually leaves with. It is the most tangible proof that the membership produced something.</t>
        </is>
      </c>
      <c r="F8" s="8" t="inlineStr">
        <is>
          <t>Before applications, and after major milestones.</t>
        </is>
      </c>
      <c r="G8" s="10" t="inlineStr">
        <is>
          <t>/careerpilot/resume</t>
        </is>
      </c>
    </row>
    <row r="9" ht="62" customHeight="1">
      <c r="A9" s="11" t="n">
        <v>8</v>
      </c>
      <c r="B9" s="11" t="inlineStr">
        <is>
          <t>Student</t>
        </is>
      </c>
      <c r="C9" s="12" t="inlineStr">
        <is>
          <t>AI Mock Interview</t>
        </is>
      </c>
      <c r="D9" s="11" t="inlineStr">
        <is>
          <t>A spoken interview with an Indian-accented AI voice, short questions, stored feedback, optionally primed for a specific company.</t>
        </is>
      </c>
      <c r="E9" s="11" t="inlineStr">
        <is>
          <t>The headline feature and the main reason people pay. Interview nerves are the real blocker for most candidates, and rehearsal is the only cure.</t>
        </is>
      </c>
      <c r="F9" s="11" t="inlineStr">
        <is>
          <t>Once a student has a roadmap and some practice behind them; before real interviews.</t>
        </is>
      </c>
      <c r="G9" s="13" t="inlineStr">
        <is>
          <t>/careerpilot/interview</t>
        </is>
      </c>
    </row>
    <row r="10" ht="62" customHeight="1">
      <c r="A10" s="8" t="n">
        <v>9</v>
      </c>
      <c r="B10" s="8" t="inlineStr">
        <is>
          <t>Student</t>
        </is>
      </c>
      <c r="C10" s="9" t="inlineStr">
        <is>
          <t>Prepare Interviews — Company Hub</t>
        </is>
      </c>
      <c r="D10" s="8" t="inlineStr">
        <is>
          <t>Per-company pages with six tabs: Overview, Interview Pattern, Salary, Mock Test, Mock Interview and Questions. A company is only visible once it clears the readiness bar.</t>
        </is>
      </c>
      <c r="E10" s="8" t="inlineStr">
        <is>
          <t>Students do not prepare 'for interviews', they prepare for TCS. Company-specific preparation is what they actually search for.</t>
        </is>
      </c>
      <c r="F10" s="8" t="inlineStr">
        <is>
          <t>In the weeks before a campus drive or an application.</t>
        </is>
      </c>
      <c r="G10" s="10" t="inlineStr">
        <is>
          <t>/careerpilot/companies · /careerpilot/companies/:slug</t>
        </is>
      </c>
    </row>
    <row r="11" ht="62" customHeight="1">
      <c r="A11" s="11" t="n">
        <v>10</v>
      </c>
      <c r="B11" s="11" t="inlineStr">
        <is>
          <t>Student</t>
        </is>
      </c>
      <c r="C11" s="12" t="inlineStr">
        <is>
          <t>Company Mock Test</t>
        </is>
      </c>
      <c r="D11" s="11" t="inlineStr">
        <is>
          <t>A timed MCQ paper modelled on a company's real pattern, with a server-side clock.</t>
        </is>
      </c>
      <c r="E11" s="11" t="inlineStr">
        <is>
          <t>A rehearsal under the real clock. Knowing the questions is not the same as finishing in time, which is what actually eliminates candidates.</t>
        </is>
      </c>
      <c r="F11" s="11" t="inlineStr">
        <is>
          <t>After reading a company's pattern, before the real aptitude round.</t>
        </is>
      </c>
      <c r="G11" s="13" t="inlineStr">
        <is>
          <t>/careerpilot/companies/:slug → Mock Test → /careerpilot/mock-test/:id</t>
        </is>
      </c>
    </row>
    <row r="12" ht="62" customHeight="1">
      <c r="A12" s="8" t="n">
        <v>11</v>
      </c>
      <c r="B12" s="8" t="inlineStr">
        <is>
          <t>Student</t>
        </is>
      </c>
      <c r="C12" s="9" t="inlineStr">
        <is>
          <t>Tech News</t>
        </is>
      </c>
      <c r="D12" s="8" t="inlineStr">
        <is>
          <t>A short daily feed of technology and hiring news, drafted by AI from a pasted URL.</t>
        </is>
      </c>
      <c r="E12" s="8" t="inlineStr">
        <is>
          <t>A cheap daily reason to return, and it makes the product feel alive between missions.</t>
        </is>
      </c>
      <c r="F12" s="8" t="inlineStr">
        <is>
          <t>Daily, in passing.</t>
        </is>
      </c>
      <c r="G12" s="10" t="inlineStr">
        <is>
          <t>/careerpilot/news</t>
        </is>
      </c>
    </row>
    <row r="13" ht="62" customHeight="1">
      <c r="A13" s="11" t="n">
        <v>12</v>
      </c>
      <c r="B13" s="11" t="inlineStr">
        <is>
          <t>Student</t>
        </is>
      </c>
      <c r="C13" s="12" t="inlineStr">
        <is>
          <t>Coins, XP &amp; Leaderboard</t>
        </is>
      </c>
      <c r="D13" s="11" t="inlineStr">
        <is>
          <t>XP for status, coins as currency, plus a global leaderboard and achievements.</t>
        </is>
      </c>
      <c r="E13" s="11" t="inlineStr">
        <is>
          <t>Motivation. XP marks progress that can never be taken away; coins are meant to be spent on rewards. NOTE FOR QA: the spending half is not built yet — coins can only be earned.</t>
        </is>
      </c>
      <c r="F13" s="11" t="inlineStr">
        <is>
          <t>Continuously, as a by-product of every other activity.</t>
        </is>
      </c>
      <c r="G13" s="13" t="inlineStr">
        <is>
          <t>/careerpilot/coins · /careerpilot/leaderboard · /careerpilot/achievements</t>
        </is>
      </c>
    </row>
    <row r="14" ht="62" customHeight="1">
      <c r="A14" s="8" t="n">
        <v>13</v>
      </c>
      <c r="B14" s="8" t="inlineStr">
        <is>
          <t>Student</t>
        </is>
      </c>
      <c r="C14" s="9" t="inlineStr">
        <is>
          <t>Public Passport Card</t>
        </is>
      </c>
      <c r="D14" s="8" t="inlineStr">
        <is>
          <t>A public, shareable, no-login profile card at a slug URL.</t>
        </is>
      </c>
      <c r="E14" s="8" t="inlineStr">
        <is>
          <t>Free distribution. A student shares their card and their friends discover the product without a rupee of ad spend.</t>
        </is>
      </c>
      <c r="F14" s="8" t="inlineStr">
        <is>
          <t>After a milestone worth showing off.</t>
        </is>
      </c>
      <c r="G14" s="10" t="inlineStr">
        <is>
          <t>/careerpilot/card/:slug</t>
        </is>
      </c>
    </row>
    <row r="15" ht="62" customHeight="1">
      <c r="A15" s="11" t="n">
        <v>14</v>
      </c>
      <c r="B15" s="11" t="inlineStr">
        <is>
          <t>Admin</t>
        </is>
      </c>
      <c r="C15" s="12" t="inlineStr">
        <is>
          <t>Plan &amp; Entitlements Config</t>
        </is>
      </c>
      <c r="D15" s="11" t="inlineStr">
        <is>
          <t>Which features are free and which are paid, plus the membership price and duration.</t>
        </is>
      </c>
      <c r="E15" s="11" t="inlineStr">
        <is>
          <t>Pricing must be changeable without a deploy. Entitlements are stored as data so a commercial decision never waits on engineering.</t>
        </is>
      </c>
      <c r="F15" s="11" t="inlineStr">
        <is>
          <t>Whenever pricing or packaging changes.</t>
        </is>
      </c>
      <c r="G15" s="13" t="inlineStr">
        <is>
          <t>/admin/passport/config</t>
        </is>
      </c>
    </row>
    <row r="16" ht="62" customHeight="1">
      <c r="A16" s="8" t="n">
        <v>15</v>
      </c>
      <c r="B16" s="8" t="inlineStr">
        <is>
          <t>Admin</t>
        </is>
      </c>
      <c r="C16" s="9" t="inlineStr">
        <is>
          <t>Assessment Builder &amp; Paper Design</t>
        </is>
      </c>
      <c r="D16" s="8" t="inlineStr">
        <is>
          <t>Questions, stage segments, scoring categories and the printed paper layout.</t>
        </is>
      </c>
      <c r="E16" s="8" t="inlineStr">
        <is>
          <t>The assessment is the funnel. If it cannot be edited by the team that owns conversion, the funnel cannot be improved.</t>
        </is>
      </c>
      <c r="F16" s="8" t="inlineStr">
        <is>
          <t>Whenever the assessment is tuned.</t>
        </is>
      </c>
      <c r="G16" s="10" t="inlineStr">
        <is>
          <t>/admin/passport/assessment · /admin/careerpilot/paper-design</t>
        </is>
      </c>
    </row>
    <row r="17" ht="62" customHeight="1">
      <c r="A17" s="11" t="n">
        <v>16</v>
      </c>
      <c r="B17" s="11" t="inlineStr">
        <is>
          <t>Admin</t>
        </is>
      </c>
      <c r="C17" s="12" t="inlineStr">
        <is>
          <t>Pathways &amp; Missions</t>
        </is>
      </c>
      <c r="D17" s="11" t="inlineStr">
        <is>
          <t>The career tracks members are sorted into, and the daily mission content.</t>
        </is>
      </c>
      <c r="E17" s="11" t="inlineStr">
        <is>
          <t>Daily content has to be authored by a human on a human's schedule, not shipped in a release.</t>
        </is>
      </c>
      <c r="F17" s="11" t="inlineStr">
        <is>
          <t>Weekly content planning.</t>
        </is>
      </c>
      <c r="G17" s="13" t="inlineStr">
        <is>
          <t>/admin/passport/pathways · /admin/passport/missions</t>
        </is>
      </c>
    </row>
    <row r="18" ht="62" customHeight="1">
      <c r="A18" s="8" t="n">
        <v>17</v>
      </c>
      <c r="B18" s="8" t="inlineStr">
        <is>
          <t>Admin</t>
        </is>
      </c>
      <c r="C18" s="9" t="inlineStr">
        <is>
          <t>Members Admin</t>
        </is>
      </c>
      <c r="D18" s="8" t="inlineStr">
        <is>
          <t>Create, edit, activate and deactivate members; inspect their answers and interviews.</t>
        </is>
      </c>
      <c r="E18" s="8" t="inlineStr">
        <is>
          <t>Support and sales both need one person's entire history on one screen.</t>
        </is>
      </c>
      <c r="F18" s="8" t="inlineStr">
        <is>
          <t>On every support call.</t>
        </is>
      </c>
      <c r="G18" s="10" t="inlineStr">
        <is>
          <t>/admin/passport/students</t>
        </is>
      </c>
    </row>
    <row r="19" ht="62" customHeight="1">
      <c r="A19" s="11" t="n">
        <v>18</v>
      </c>
      <c r="B19" s="11" t="inlineStr">
        <is>
          <t>Admin</t>
        </is>
      </c>
      <c r="C19" s="12" t="inlineStr">
        <is>
          <t>Company Roster &amp; Content</t>
        </is>
      </c>
      <c r="D19" s="11" t="inlineStr">
        <is>
          <t>Bulk-create companies, AI-draft their profiles, edit interview patterns, import or generate questions, and verify eligibility. Readiness is scored live.</t>
        </is>
      </c>
      <c r="E19" s="11" t="inlineStr">
        <is>
          <t>The content engine behind Prepare Interviews, and the deepest admin surface in the module. A company goes live automatically when it clears the bar — there is no publish button.</t>
        </is>
      </c>
      <c r="F19" s="11" t="inlineStr">
        <is>
          <t>Continuously, as the company library grows.</t>
        </is>
      </c>
      <c r="G19" s="13" t="inlineStr">
        <is>
          <t>/admin/passport/companies</t>
        </is>
      </c>
    </row>
    <row r="20" ht="62" customHeight="1">
      <c r="A20" s="8" t="n">
        <v>19</v>
      </c>
      <c r="B20" s="8" t="inlineStr">
        <is>
          <t>Admin</t>
        </is>
      </c>
      <c r="C20" s="9" t="inlineStr">
        <is>
          <t>Tech News Admin</t>
        </is>
      </c>
      <c r="D20" s="8" t="inlineStr">
        <is>
          <t>Paste a URL, have AI draft the item, edit and publish.</t>
        </is>
      </c>
      <c r="E20" s="8" t="inlineStr">
        <is>
          <t>Publishing has to take a minute or it will not happen daily.</t>
        </is>
      </c>
      <c r="F20" s="8" t="inlineStr">
        <is>
          <t>Daily.</t>
        </is>
      </c>
      <c r="G20" s="10" t="inlineStr">
        <is>
          <t>/admin/passport/news</t>
        </is>
      </c>
    </row>
    <row r="21" ht="62" customHeight="1">
      <c r="A21" s="11" t="n">
        <v>20</v>
      </c>
      <c r="B21" s="11" t="inlineStr">
        <is>
          <t>Admin</t>
        </is>
      </c>
      <c r="C21" s="12" t="inlineStr">
        <is>
          <t>Coins Admin</t>
        </is>
      </c>
      <c r="D21" s="11" t="inlineStr">
        <is>
          <t>Earning rules, caps, the coin config and the full ledger.</t>
        </is>
      </c>
      <c r="E21" s="11" t="inlineStr">
        <is>
          <t>Every coin number is admin-changeable by design, so the economy can be tuned against real behaviour rather than guesses.</t>
        </is>
      </c>
      <c r="F21" s="11" t="inlineStr">
        <is>
          <t>Whenever the economy is rebalanced.</t>
        </is>
      </c>
      <c r="G21" s="13" t="inlineStr">
        <is>
          <t>/admin/passport/coins</t>
        </is>
      </c>
    </row>
    <row r="22" ht="62" customHeight="1">
      <c r="A22" s="8" t="n">
        <v>21</v>
      </c>
      <c r="B22" s="8" t="inlineStr">
        <is>
          <t>Admin</t>
        </is>
      </c>
      <c r="C22" s="9" t="inlineStr">
        <is>
          <t>Staging Board</t>
        </is>
      </c>
      <c r="D22" s="8" t="inlineStr">
        <is>
          <t>Moves a member between career stages.</t>
        </is>
      </c>
      <c r="E22" s="8" t="inlineStr">
        <is>
          <t>Stage drives which missions and content a member sees; it must be correctable without touching the database.</t>
        </is>
      </c>
      <c r="F22" s="8" t="inlineStr">
        <is>
          <t>When a member's situation changes.</t>
        </is>
      </c>
      <c r="G22" s="10" t="inlineStr">
        <is>
          <t>/admin/careerpilot/staging</t>
        </is>
      </c>
    </row>
  </sheetData>
  <autoFilter ref="A1:G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26" customWidth="1" min="3" max="3"/>
    <col width="9" customWidth="1" min="4" max="4"/>
    <col width="8" customWidth="1" min="5" max="5"/>
    <col width="40" customWidth="1" min="6" max="6"/>
    <col width="30" customWidth="1" min="7" max="7"/>
    <col width="30" customWidth="1" min="8" max="8"/>
    <col width="46" customWidth="1" min="9" max="9"/>
    <col width="26" customWidth="1" min="10" max="10"/>
    <col width="60" customWidth="1" min="11" max="11"/>
    <col width="34" customWidth="1" min="12" max="12"/>
    <col width="10" customWidth="1" min="13" max="13"/>
    <col width="13" customWidth="1" min="14" max="14"/>
    <col width="11" customWidth="1" min="15" max="15"/>
    <col width="12" customWidth="1" min="16" max="16"/>
  </cols>
  <sheetData>
    <row r="1" ht="30" customHeight="1">
      <c r="A1" s="7" t="inlineStr">
        <is>
          <t>Test Case ID</t>
        </is>
      </c>
      <c r="B1" s="7" t="inlineStr">
        <is>
          <t>Module</t>
        </is>
      </c>
      <c r="C1" s="7" t="inlineStr">
        <is>
          <t>Feature</t>
        </is>
      </c>
      <c r="D1" s="7" t="inlineStr">
        <is>
          <t>Type</t>
        </is>
      </c>
      <c r="E1" s="7" t="inlineStr">
        <is>
          <t>Priority</t>
        </is>
      </c>
      <c r="F1" s="7" t="inlineStr">
        <is>
          <t>Test Case Title</t>
        </is>
      </c>
      <c r="G1" s="7" t="inlineStr">
        <is>
          <t>Preconditions</t>
        </is>
      </c>
      <c r="H1" s="7" t="inlineStr">
        <is>
          <t>Navigation Path</t>
        </is>
      </c>
      <c r="I1" s="7" t="inlineStr">
        <is>
          <t>Steps</t>
        </is>
      </c>
      <c r="J1" s="7" t="inlineStr">
        <is>
          <t>Test Data</t>
        </is>
      </c>
      <c r="K1" s="7" t="inlineStr">
        <is>
          <t>Expected Result</t>
        </is>
      </c>
      <c r="L1" s="7" t="inlineStr">
        <is>
          <t>Actual Result</t>
        </is>
      </c>
      <c r="M1" s="7" t="inlineStr">
        <is>
          <t>Result</t>
        </is>
      </c>
      <c r="N1" s="7" t="inlineStr">
        <is>
          <t>Tested By</t>
        </is>
      </c>
      <c r="O1" s="7" t="inlineStr">
        <is>
          <t>Date</t>
        </is>
      </c>
      <c r="P1" s="7" t="inlineStr">
        <is>
          <t>Defect Ref</t>
        </is>
      </c>
    </row>
    <row r="2" ht="78" customHeight="1">
      <c r="A2" s="14" t="inlineStr">
        <is>
          <t>TC-JOIN-001</t>
        </is>
      </c>
      <c r="B2" s="15" t="inlineStr">
        <is>
          <t>Student</t>
        </is>
      </c>
      <c r="C2" s="15" t="inlineStr">
        <is>
          <t>Join, OTP &amp; Login</t>
        </is>
      </c>
      <c r="D2" s="16" t="inlineStr">
        <is>
          <t>Positive</t>
        </is>
      </c>
      <c r="E2" s="17" t="inlineStr">
        <is>
          <t>P0</t>
        </is>
      </c>
      <c r="F2" s="18" t="inlineStr">
        <is>
          <t>Register a new member with a valid mobile</t>
        </is>
      </c>
      <c r="G2" s="15" t="inlineStr">
        <is>
          <t>Mobile number never used on this tenant</t>
        </is>
      </c>
      <c r="H2" s="10" t="inlineStr">
        <is>
          <t>Open /careerpilot/join</t>
        </is>
      </c>
      <c r="I2" s="15" t="inlineStr">
        <is>
          <t>1. Open /careerpilot/join
2. Enter full name, mobile and email
3. Tap Send OTP
4. Read the OTP from WhatsApp
5. Enter it and tap Verify</t>
        </is>
      </c>
      <c r="J2" s="15" t="inlineStr">
        <is>
          <t>Name: Test Student
Mobile: 9876500001
Email: test1@example.com</t>
        </is>
      </c>
      <c r="K2" s="15" t="inlineStr">
        <is>
          <t>OTP arrives on WhatsApp within 60s. After verifying, the member lands on the assessment start screen and a member record exists in Admin &gt; Members.</t>
        </is>
      </c>
      <c r="L2" s="15" t="inlineStr"/>
      <c r="M2" s="15" t="inlineStr"/>
      <c r="N2" s="15" t="inlineStr"/>
      <c r="O2" s="15" t="inlineStr"/>
      <c r="P2" s="15" t="inlineStr"/>
    </row>
    <row r="3" ht="78" customHeight="1">
      <c r="A3" s="14" t="inlineStr">
        <is>
          <t>TC-JOIN-002</t>
        </is>
      </c>
      <c r="B3" s="15" t="inlineStr">
        <is>
          <t>Student</t>
        </is>
      </c>
      <c r="C3" s="15" t="inlineStr">
        <is>
          <t>Join, OTP &amp; Login</t>
        </is>
      </c>
      <c r="D3" s="16" t="inlineStr">
        <is>
          <t>Positive</t>
        </is>
      </c>
      <c r="E3" s="19" t="inlineStr">
        <is>
          <t>P1</t>
        </is>
      </c>
      <c r="F3" s="18" t="inlineStr">
        <is>
          <t>Log in with OTP on a returning member</t>
        </is>
      </c>
      <c r="G3" s="15" t="inlineStr">
        <is>
          <t>Member already registered</t>
        </is>
      </c>
      <c r="H3" s="10" t="inlineStr">
        <is>
          <t>Open /careerpilot/login</t>
        </is>
      </c>
      <c r="I3" s="15" t="inlineStr">
        <is>
          <t>1. Open /careerpilot/login
2. Enter the registered mobile
3. Tap Send OTP
4. Enter the OTP</t>
        </is>
      </c>
      <c r="J3" s="15" t="inlineStr">
        <is>
          <t>Mobile: 9876500001</t>
        </is>
      </c>
      <c r="K3" s="15" t="inlineStr">
        <is>
          <t>Member is logged in and lands on /careerpilot with their existing progress intact — not a fresh assessment.</t>
        </is>
      </c>
      <c r="L3" s="15" t="inlineStr"/>
      <c r="M3" s="15" t="inlineStr"/>
      <c r="N3" s="15" t="inlineStr"/>
      <c r="O3" s="15" t="inlineStr"/>
      <c r="P3" s="15" t="inlineStr"/>
    </row>
    <row r="4" ht="78" customHeight="1">
      <c r="A4" s="14" t="inlineStr">
        <is>
          <t>TC-JOIN-003</t>
        </is>
      </c>
      <c r="B4" s="15" t="inlineStr">
        <is>
          <t>Student</t>
        </is>
      </c>
      <c r="C4" s="15" t="inlineStr">
        <is>
          <t>Join, OTP &amp; Login</t>
        </is>
      </c>
      <c r="D4" s="16" t="inlineStr">
        <is>
          <t>Positive</t>
        </is>
      </c>
      <c r="E4" s="19" t="inlineStr">
        <is>
          <t>P1</t>
        </is>
      </c>
      <c r="F4" s="18" t="inlineStr">
        <is>
          <t>Set a password and then log in with it</t>
        </is>
      </c>
      <c r="G4" s="15" t="inlineStr">
        <is>
          <t>Member logged in via OTP, no password set</t>
        </is>
      </c>
      <c r="H4" s="10" t="inlineStr">
        <is>
          <t>/careerpilot → Profile → Set password</t>
        </is>
      </c>
      <c r="I4" s="15" t="inlineStr">
        <is>
          <t>1. Set a password of 8+ characters
2. Log out
3. Open /careerpilot/login
4. Switch to password login
5. Enter mobile and password</t>
        </is>
      </c>
      <c r="J4" s="15" t="inlineStr">
        <is>
          <t>Password: Test@2026</t>
        </is>
      </c>
      <c r="K4" s="15" t="inlineStr">
        <is>
          <t>Password is accepted, login succeeds without an OTP, and the session behaves identically to an OTP login.</t>
        </is>
      </c>
      <c r="L4" s="15" t="inlineStr"/>
      <c r="M4" s="15" t="inlineStr"/>
      <c r="N4" s="15" t="inlineStr"/>
      <c r="O4" s="15" t="inlineStr"/>
      <c r="P4" s="15" t="inlineStr"/>
    </row>
    <row r="5" ht="78" customHeight="1">
      <c r="A5" s="14" t="inlineStr">
        <is>
          <t>TC-JOIN-004</t>
        </is>
      </c>
      <c r="B5" s="15" t="inlineStr">
        <is>
          <t>Student</t>
        </is>
      </c>
      <c r="C5" s="15" t="inlineStr">
        <is>
          <t>Join, OTP &amp; Login</t>
        </is>
      </c>
      <c r="D5" s="16" t="inlineStr">
        <is>
          <t>Positive</t>
        </is>
      </c>
      <c r="E5" s="20" t="inlineStr">
        <is>
          <t>P2</t>
        </is>
      </c>
      <c r="F5" s="18" t="inlineStr">
        <is>
          <t>Resend OTP after the timer expires</t>
        </is>
      </c>
      <c r="G5" s="15" t="inlineStr">
        <is>
          <t>OTP requested, countdown finished</t>
        </is>
      </c>
      <c r="H5" s="10" t="inlineStr">
        <is>
          <t>/careerpilot/join → OTP screen</t>
        </is>
      </c>
      <c r="I5" s="15" t="inlineStr">
        <is>
          <t>1. Request an OTP
2. Wait for the resend timer to reach zero
3. Tap Resend</t>
        </is>
      </c>
      <c r="J5" s="15" t="inlineStr">
        <is>
          <t>-</t>
        </is>
      </c>
      <c r="K5" s="15" t="inlineStr">
        <is>
          <t>A new OTP is sent and accepted. The previous OTP is rejected.</t>
        </is>
      </c>
      <c r="L5" s="15" t="inlineStr"/>
      <c r="M5" s="15" t="inlineStr"/>
      <c r="N5" s="15" t="inlineStr"/>
      <c r="O5" s="15" t="inlineStr"/>
      <c r="P5" s="15" t="inlineStr"/>
    </row>
    <row r="6" ht="78" customHeight="1">
      <c r="A6" s="14" t="inlineStr">
        <is>
          <t>TC-JOIN-005</t>
        </is>
      </c>
      <c r="B6" s="15" t="inlineStr">
        <is>
          <t>Student</t>
        </is>
      </c>
      <c r="C6" s="15" t="inlineStr">
        <is>
          <t>Join, OTP &amp; Login</t>
        </is>
      </c>
      <c r="D6" s="21" t="inlineStr">
        <is>
          <t>Negative</t>
        </is>
      </c>
      <c r="E6" s="17" t="inlineStr">
        <is>
          <t>P0</t>
        </is>
      </c>
      <c r="F6" s="18" t="inlineStr">
        <is>
          <t>Reject an invalid mobile number</t>
        </is>
      </c>
      <c r="G6" s="15" t="inlineStr">
        <is>
          <t>-</t>
        </is>
      </c>
      <c r="H6" s="10" t="inlineStr">
        <is>
          <t>/careerpilot/join</t>
        </is>
      </c>
      <c r="I6" s="15" t="inlineStr">
        <is>
          <t>1. Enter a 9-digit number
2. Tap Send OTP</t>
        </is>
      </c>
      <c r="J6" s="15" t="inlineStr">
        <is>
          <t>Mobile: 987650000</t>
        </is>
      </c>
      <c r="K6" s="15" t="inlineStr">
        <is>
          <t>A clear inline message states the number must be a valid 10-digit Indian mobile. No OTP is sent and no member record is created.</t>
        </is>
      </c>
      <c r="L6" s="15" t="inlineStr"/>
      <c r="M6" s="15" t="inlineStr"/>
      <c r="N6" s="15" t="inlineStr"/>
      <c r="O6" s="15" t="inlineStr"/>
      <c r="P6" s="15" t="inlineStr"/>
    </row>
    <row r="7" ht="78" customHeight="1">
      <c r="A7" s="14" t="inlineStr">
        <is>
          <t>TC-JOIN-006</t>
        </is>
      </c>
      <c r="B7" s="15" t="inlineStr">
        <is>
          <t>Student</t>
        </is>
      </c>
      <c r="C7" s="15" t="inlineStr">
        <is>
          <t>Join, OTP &amp; Login</t>
        </is>
      </c>
      <c r="D7" s="21" t="inlineStr">
        <is>
          <t>Negative</t>
        </is>
      </c>
      <c r="E7" s="17" t="inlineStr">
        <is>
          <t>P0</t>
        </is>
      </c>
      <c r="F7" s="18" t="inlineStr">
        <is>
          <t>Reject a wrong OTP</t>
        </is>
      </c>
      <c r="G7" s="15" t="inlineStr">
        <is>
          <t>OTP requested</t>
        </is>
      </c>
      <c r="H7" s="10" t="inlineStr">
        <is>
          <t>/careerpilot/join → OTP screen</t>
        </is>
      </c>
      <c r="I7" s="15" t="inlineStr">
        <is>
          <t>1. Enter six digits that are not the OTP
2. Tap Verify</t>
        </is>
      </c>
      <c r="J7" s="15" t="inlineStr">
        <is>
          <t>OTP: 000000</t>
        </is>
      </c>
      <c r="K7" s="15" t="inlineStr">
        <is>
          <t>Verification fails with a readable message. The member is NOT logged in and no session token is issued.</t>
        </is>
      </c>
      <c r="L7" s="15" t="inlineStr"/>
      <c r="M7" s="15" t="inlineStr"/>
      <c r="N7" s="15" t="inlineStr"/>
      <c r="O7" s="15" t="inlineStr"/>
      <c r="P7" s="15" t="inlineStr"/>
    </row>
    <row r="8" ht="78" customHeight="1">
      <c r="A8" s="14" t="inlineStr">
        <is>
          <t>TC-JOIN-007</t>
        </is>
      </c>
      <c r="B8" s="15" t="inlineStr">
        <is>
          <t>Student</t>
        </is>
      </c>
      <c r="C8" s="15" t="inlineStr">
        <is>
          <t>Join, OTP &amp; Login</t>
        </is>
      </c>
      <c r="D8" s="21" t="inlineStr">
        <is>
          <t>Negative</t>
        </is>
      </c>
      <c r="E8" s="19" t="inlineStr">
        <is>
          <t>P1</t>
        </is>
      </c>
      <c r="F8" s="18" t="inlineStr">
        <is>
          <t>Reject an expired OTP</t>
        </is>
      </c>
      <c r="G8" s="15" t="inlineStr">
        <is>
          <t>OTP requested</t>
        </is>
      </c>
      <c r="H8" s="10" t="inlineStr">
        <is>
          <t>/careerpilot/join → OTP screen</t>
        </is>
      </c>
      <c r="I8" s="15" t="inlineStr">
        <is>
          <t>1. Request an OTP
2. Wait past the expiry window
3. Enter the original OTP</t>
        </is>
      </c>
      <c r="J8" s="15" t="inlineStr">
        <is>
          <t>-</t>
        </is>
      </c>
      <c r="K8" s="15" t="inlineStr">
        <is>
          <t>Verification is refused as expired and the member is invited to request a new one.</t>
        </is>
      </c>
      <c r="L8" s="15" t="inlineStr"/>
      <c r="M8" s="15" t="inlineStr"/>
      <c r="N8" s="15" t="inlineStr"/>
      <c r="O8" s="15" t="inlineStr"/>
      <c r="P8" s="15" t="inlineStr"/>
    </row>
    <row r="9" ht="78" customHeight="1">
      <c r="A9" s="14" t="inlineStr">
        <is>
          <t>TC-JOIN-008</t>
        </is>
      </c>
      <c r="B9" s="15" t="inlineStr">
        <is>
          <t>Student</t>
        </is>
      </c>
      <c r="C9" s="15" t="inlineStr">
        <is>
          <t>Join, OTP &amp; Login</t>
        </is>
      </c>
      <c r="D9" s="21" t="inlineStr">
        <is>
          <t>Negative</t>
        </is>
      </c>
      <c r="E9" s="19" t="inlineStr">
        <is>
          <t>P1</t>
        </is>
      </c>
      <c r="F9" s="18" t="inlineStr">
        <is>
          <t>Reject a password under the minimum length</t>
        </is>
      </c>
      <c r="G9" s="15" t="inlineStr">
        <is>
          <t>Member logged in</t>
        </is>
      </c>
      <c r="H9" s="10" t="inlineStr">
        <is>
          <t>/careerpilot → Profile</t>
        </is>
      </c>
      <c r="I9" s="15" t="inlineStr">
        <is>
          <t>1. Enter a 5-character password
2. Save</t>
        </is>
      </c>
      <c r="J9" s="15" t="inlineStr">
        <is>
          <t>Password: Ab1@x</t>
        </is>
      </c>
      <c r="K9" s="15" t="inlineStr">
        <is>
          <t>Save is refused with a message naming the 8-character minimum. No password is stored.</t>
        </is>
      </c>
      <c r="L9" s="15" t="inlineStr"/>
      <c r="M9" s="15" t="inlineStr"/>
      <c r="N9" s="15" t="inlineStr"/>
      <c r="O9" s="15" t="inlineStr"/>
      <c r="P9" s="15" t="inlineStr"/>
    </row>
    <row r="10" ht="78" customHeight="1">
      <c r="A10" s="14" t="inlineStr">
        <is>
          <t>TC-JOIN-009</t>
        </is>
      </c>
      <c r="B10" s="15" t="inlineStr">
        <is>
          <t>Student</t>
        </is>
      </c>
      <c r="C10" s="15" t="inlineStr">
        <is>
          <t>Join, OTP &amp; Login</t>
        </is>
      </c>
      <c r="D10" s="22" t="inlineStr">
        <is>
          <t>Corner</t>
        </is>
      </c>
      <c r="E10" s="19" t="inlineStr">
        <is>
          <t>P1</t>
        </is>
      </c>
      <c r="F10" s="18" t="inlineStr">
        <is>
          <t>Mobile entered with +91, spaces or dashes</t>
        </is>
      </c>
      <c r="G10" s="15" t="inlineStr">
        <is>
          <t>-</t>
        </is>
      </c>
      <c r="H10" s="10" t="inlineStr">
        <is>
          <t>/careerpilot/join</t>
        </is>
      </c>
      <c r="I10" s="15" t="inlineStr">
        <is>
          <t>1. Enter the same number in four formats
2. Send OTP each time</t>
        </is>
      </c>
      <c r="J10" s="15" t="inlineStr">
        <is>
          <t>+91 98765 00001
+919876500001
098765-00001
9876500001</t>
        </is>
      </c>
      <c r="K10" s="15" t="inlineStr">
        <is>
          <t>All four normalise to the SAME member. No duplicate accounts are created. (This was a real defect — three different normalisers existed.)</t>
        </is>
      </c>
      <c r="L10" s="15" t="inlineStr"/>
      <c r="M10" s="15" t="inlineStr"/>
      <c r="N10" s="15" t="inlineStr"/>
      <c r="O10" s="15" t="inlineStr"/>
      <c r="P10" s="15" t="inlineStr"/>
    </row>
    <row r="11" ht="78" customHeight="1">
      <c r="A11" s="14" t="inlineStr">
        <is>
          <t>TC-JOIN-010</t>
        </is>
      </c>
      <c r="B11" s="15" t="inlineStr">
        <is>
          <t>Student</t>
        </is>
      </c>
      <c r="C11" s="15" t="inlineStr">
        <is>
          <t>Join, OTP &amp; Login</t>
        </is>
      </c>
      <c r="D11" s="22" t="inlineStr">
        <is>
          <t>Corner</t>
        </is>
      </c>
      <c r="E11" s="20" t="inlineStr">
        <is>
          <t>P2</t>
        </is>
      </c>
      <c r="F11" s="18" t="inlineStr">
        <is>
          <t>Same mobile registers twice</t>
        </is>
      </c>
      <c r="G11" s="15" t="inlineStr">
        <is>
          <t>Member already exists</t>
        </is>
      </c>
      <c r="H11" s="10" t="inlineStr">
        <is>
          <t>/careerpilot/join</t>
        </is>
      </c>
      <c r="I11" s="15" t="inlineStr">
        <is>
          <t>1. Register with an existing mobile
2. Complete the OTP</t>
        </is>
      </c>
      <c r="J11" s="15" t="inlineStr">
        <is>
          <t>Mobile: 9876500001</t>
        </is>
      </c>
      <c r="K11" s="15" t="inlineStr">
        <is>
          <t>The existing member is logged in rather than a duplicate being created. Progress is preserved.</t>
        </is>
      </c>
      <c r="L11" s="15" t="inlineStr"/>
      <c r="M11" s="15" t="inlineStr"/>
      <c r="N11" s="15" t="inlineStr"/>
      <c r="O11" s="15" t="inlineStr"/>
      <c r="P11" s="15" t="inlineStr"/>
    </row>
    <row r="12" ht="78" customHeight="1">
      <c r="A12" s="14" t="inlineStr">
        <is>
          <t>TC-JOIN-011</t>
        </is>
      </c>
      <c r="B12" s="15" t="inlineStr">
        <is>
          <t>Student</t>
        </is>
      </c>
      <c r="C12" s="15" t="inlineStr">
        <is>
          <t>Join, OTP &amp; Login</t>
        </is>
      </c>
      <c r="D12" s="22" t="inlineStr">
        <is>
          <t>Corner</t>
        </is>
      </c>
      <c r="E12" s="20" t="inlineStr">
        <is>
          <t>P2</t>
        </is>
      </c>
      <c r="F12" s="18" t="inlineStr">
        <is>
          <t>OTP requested many times in quick succession</t>
        </is>
      </c>
      <c r="G12" s="15" t="inlineStr">
        <is>
          <t>-</t>
        </is>
      </c>
      <c r="H12" s="10" t="inlineStr">
        <is>
          <t>/careerpilot/join</t>
        </is>
      </c>
      <c r="I12" s="15" t="inlineStr">
        <is>
          <t>1. Tap Send OTP repeatedly, as fast as the UI allows</t>
        </is>
      </c>
      <c r="J12" s="15" t="inlineStr">
        <is>
          <t>-</t>
        </is>
      </c>
      <c r="K12" s="15" t="inlineStr">
        <is>
          <t>Requests are throttled. The button disables or a cooldown message appears. WhatsApp is not spammed and cost is bounded.</t>
        </is>
      </c>
      <c r="L12" s="15" t="inlineStr"/>
      <c r="M12" s="15" t="inlineStr"/>
      <c r="N12" s="15" t="inlineStr"/>
      <c r="O12" s="15" t="inlineStr"/>
      <c r="P12" s="15" t="inlineStr"/>
    </row>
    <row r="13" ht="78" customHeight="1">
      <c r="A13" s="14" t="inlineStr">
        <is>
          <t>TC-ASM-001</t>
        </is>
      </c>
      <c r="B13" s="15" t="inlineStr">
        <is>
          <t>Student</t>
        </is>
      </c>
      <c r="C13" s="15" t="inlineStr">
        <is>
          <t>Career Readiness Assessment</t>
        </is>
      </c>
      <c r="D13" s="16" t="inlineStr">
        <is>
          <t>Positive</t>
        </is>
      </c>
      <c r="E13" s="17" t="inlineStr">
        <is>
          <t>P0</t>
        </is>
      </c>
      <c r="F13" s="18" t="inlineStr">
        <is>
          <t>Complete the assessment end to end</t>
        </is>
      </c>
      <c r="G13" s="15" t="inlineStr">
        <is>
          <t>Newly registered member</t>
        </is>
      </c>
      <c r="H13" s="10" t="inlineStr">
        <is>
          <t>/careerpilot/assessment</t>
        </is>
      </c>
      <c r="I13" s="15" t="inlineStr">
        <is>
          <t>1. Start the assessment
2. Answer every question across all stage segments
3. Submit</t>
        </is>
      </c>
      <c r="J13" s="15" t="inlineStr">
        <is>
          <t>Answer honestly as a final-year student</t>
        </is>
      </c>
      <c r="K13" s="15" t="inlineStr">
        <is>
          <t>A career score, level and pathway are shown. The result is reproducible — the same answers always give the same score, because scoring is deterministic.</t>
        </is>
      </c>
      <c r="L13" s="15" t="inlineStr"/>
      <c r="M13" s="15" t="inlineStr"/>
      <c r="N13" s="15" t="inlineStr"/>
      <c r="O13" s="15" t="inlineStr"/>
      <c r="P13" s="15" t="inlineStr"/>
    </row>
    <row r="14" ht="78" customHeight="1">
      <c r="A14" s="14" t="inlineStr">
        <is>
          <t>TC-ASM-002</t>
        </is>
      </c>
      <c r="B14" s="15" t="inlineStr">
        <is>
          <t>Student</t>
        </is>
      </c>
      <c r="C14" s="15" t="inlineStr">
        <is>
          <t>Career Readiness Assessment</t>
        </is>
      </c>
      <c r="D14" s="16" t="inlineStr">
        <is>
          <t>Positive</t>
        </is>
      </c>
      <c r="E14" s="19" t="inlineStr">
        <is>
          <t>P1</t>
        </is>
      </c>
      <c r="F14" s="18" t="inlineStr">
        <is>
          <t>Resume a part-finished assessment</t>
        </is>
      </c>
      <c r="G14" s="15" t="inlineStr">
        <is>
          <t>Assessment started, some answers given</t>
        </is>
      </c>
      <c r="H14" s="10" t="inlineStr">
        <is>
          <t>/careerpilot/assessment</t>
        </is>
      </c>
      <c r="I14" s="15" t="inlineStr">
        <is>
          <t>1. Answer the first few questions
2. Close the browser
3. Log back in and reopen the assessment</t>
        </is>
      </c>
      <c r="J14" s="15" t="inlineStr">
        <is>
          <t>-</t>
        </is>
      </c>
      <c r="K14" s="15" t="inlineStr">
        <is>
          <t>Previously given answers are still selected and the member resumes where they stopped.</t>
        </is>
      </c>
      <c r="L14" s="15" t="inlineStr"/>
      <c r="M14" s="15" t="inlineStr"/>
      <c r="N14" s="15" t="inlineStr"/>
      <c r="O14" s="15" t="inlineStr"/>
      <c r="P14" s="15" t="inlineStr"/>
    </row>
    <row r="15" ht="78" customHeight="1">
      <c r="A15" s="14" t="inlineStr">
        <is>
          <t>TC-ASM-003</t>
        </is>
      </c>
      <c r="B15" s="15" t="inlineStr">
        <is>
          <t>Student</t>
        </is>
      </c>
      <c r="C15" s="15" t="inlineStr">
        <is>
          <t>Career Readiness Assessment</t>
        </is>
      </c>
      <c r="D15" s="16" t="inlineStr">
        <is>
          <t>Positive</t>
        </is>
      </c>
      <c r="E15" s="19" t="inlineStr">
        <is>
          <t>P1</t>
        </is>
      </c>
      <c r="F15" s="18" t="inlineStr">
        <is>
          <t>View the result and the free roadmap preview</t>
        </is>
      </c>
      <c r="G15" s="15" t="inlineStr">
        <is>
          <t>Assessment submitted</t>
        </is>
      </c>
      <c r="H15" s="10" t="inlineStr">
        <is>
          <t>/careerpilot/assessment → Result</t>
        </is>
      </c>
      <c r="I15" s="15" t="inlineStr">
        <is>
          <t>1. Read the result screen
2. Follow the roadmap link</t>
        </is>
      </c>
      <c r="J15" s="15" t="inlineStr">
        <is>
          <t>-</t>
        </is>
      </c>
      <c r="K15" s="15" t="inlineStr">
        <is>
          <t>Score, level, pathway and a 7-day preview are visible. The full 90-day plan is clearly marked as paid.</t>
        </is>
      </c>
      <c r="L15" s="15" t="inlineStr"/>
      <c r="M15" s="15" t="inlineStr"/>
      <c r="N15" s="15" t="inlineStr"/>
      <c r="O15" s="15" t="inlineStr"/>
      <c r="P15" s="15" t="inlineStr"/>
    </row>
    <row r="16" ht="78" customHeight="1">
      <c r="A16" s="14" t="inlineStr">
        <is>
          <t>TC-ASM-004</t>
        </is>
      </c>
      <c r="B16" s="15" t="inlineStr">
        <is>
          <t>Student</t>
        </is>
      </c>
      <c r="C16" s="15" t="inlineStr">
        <is>
          <t>Career Readiness Assessment</t>
        </is>
      </c>
      <c r="D16" s="21" t="inlineStr">
        <is>
          <t>Negative</t>
        </is>
      </c>
      <c r="E16" s="17" t="inlineStr">
        <is>
          <t>P0</t>
        </is>
      </c>
      <c r="F16" s="18" t="inlineStr">
        <is>
          <t>Submit with unanswered questions</t>
        </is>
      </c>
      <c r="G16" s="15" t="inlineStr">
        <is>
          <t>Assessment in progress</t>
        </is>
      </c>
      <c r="H16" s="10" t="inlineStr">
        <is>
          <t>/careerpilot/assessment</t>
        </is>
      </c>
      <c r="I16" s="15" t="inlineStr">
        <is>
          <t>1. Leave several questions blank
2. Tap Submit</t>
        </is>
      </c>
      <c r="J16" s="15" t="inlineStr">
        <is>
          <t>-</t>
        </is>
      </c>
      <c r="K16" s="15" t="inlineStr">
        <is>
          <t>Submission is blocked, or the blanks are clearly listed. The member is never scored on questions they never saw.</t>
        </is>
      </c>
      <c r="L16" s="15" t="inlineStr"/>
      <c r="M16" s="15" t="inlineStr"/>
      <c r="N16" s="15" t="inlineStr"/>
      <c r="O16" s="15" t="inlineStr"/>
      <c r="P16" s="15" t="inlineStr"/>
    </row>
    <row r="17" ht="78" customHeight="1">
      <c r="A17" s="14" t="inlineStr">
        <is>
          <t>TC-ASM-005</t>
        </is>
      </c>
      <c r="B17" s="15" t="inlineStr">
        <is>
          <t>Student</t>
        </is>
      </c>
      <c r="C17" s="15" t="inlineStr">
        <is>
          <t>Career Readiness Assessment</t>
        </is>
      </c>
      <c r="D17" s="21" t="inlineStr">
        <is>
          <t>Negative</t>
        </is>
      </c>
      <c r="E17" s="19" t="inlineStr">
        <is>
          <t>P1</t>
        </is>
      </c>
      <c r="F17" s="18" t="inlineStr">
        <is>
          <t>Submit the assessment twice</t>
        </is>
      </c>
      <c r="G17" s="15" t="inlineStr">
        <is>
          <t>Assessment already submitted</t>
        </is>
      </c>
      <c r="H17" s="10" t="inlineStr">
        <is>
          <t>/careerpilot/assessment</t>
        </is>
      </c>
      <c r="I17" s="15" t="inlineStr">
        <is>
          <t>1. Reopen the assessment
2. Attempt to submit again</t>
        </is>
      </c>
      <c r="J17" s="15" t="inlineStr">
        <is>
          <t>-</t>
        </is>
      </c>
      <c r="K17" s="15" t="inlineStr">
        <is>
          <t>A second submission does not overwrite the first silently. Either the result is shown, or a retake is offered explicitly.</t>
        </is>
      </c>
      <c r="L17" s="15" t="inlineStr"/>
      <c r="M17" s="15" t="inlineStr"/>
      <c r="N17" s="15" t="inlineStr"/>
      <c r="O17" s="15" t="inlineStr"/>
      <c r="P17" s="15" t="inlineStr"/>
    </row>
    <row r="18" ht="78" customHeight="1">
      <c r="A18" s="14" t="inlineStr">
        <is>
          <t>TC-ASM-006</t>
        </is>
      </c>
      <c r="B18" s="15" t="inlineStr">
        <is>
          <t>Student</t>
        </is>
      </c>
      <c r="C18" s="15" t="inlineStr">
        <is>
          <t>Career Readiness Assessment</t>
        </is>
      </c>
      <c r="D18" s="22" t="inlineStr">
        <is>
          <t>Corner</t>
        </is>
      </c>
      <c r="E18" s="19" t="inlineStr">
        <is>
          <t>P1</t>
        </is>
      </c>
      <c r="F18" s="18" t="inlineStr">
        <is>
          <t>A category with no questions asked</t>
        </is>
      </c>
      <c r="G18" s="15" t="inlineStr">
        <is>
          <t>Assessment configured so one scoring category has no active questions</t>
        </is>
      </c>
      <c r="H18" s="10" t="inlineStr">
        <is>
          <t>/careerpilot/assessment</t>
        </is>
      </c>
      <c r="I18" s="15" t="inlineStr">
        <is>
          <t>1. Complete the assessment
2. Inspect the category breakdown on the result</t>
        </is>
      </c>
      <c r="J18" s="15" t="inlineStr">
        <is>
          <t>-</t>
        </is>
      </c>
      <c r="K18" s="15" t="inlineStr">
        <is>
          <t>The unasked category is ABSENT from the breakdown — not shown as zero. Scoring a member on something never asked is a defect that was previously fixed.</t>
        </is>
      </c>
      <c r="L18" s="15" t="inlineStr"/>
      <c r="M18" s="15" t="inlineStr"/>
      <c r="N18" s="15" t="inlineStr"/>
      <c r="O18" s="15" t="inlineStr"/>
      <c r="P18" s="15" t="inlineStr"/>
    </row>
    <row r="19" ht="78" customHeight="1">
      <c r="A19" s="14" t="inlineStr">
        <is>
          <t>TC-ASM-007</t>
        </is>
      </c>
      <c r="B19" s="15" t="inlineStr">
        <is>
          <t>Student</t>
        </is>
      </c>
      <c r="C19" s="15" t="inlineStr">
        <is>
          <t>Career Readiness Assessment</t>
        </is>
      </c>
      <c r="D19" s="22" t="inlineStr">
        <is>
          <t>Corner</t>
        </is>
      </c>
      <c r="E19" s="20" t="inlineStr">
        <is>
          <t>P2</t>
        </is>
      </c>
      <c r="F19" s="18" t="inlineStr">
        <is>
          <t>Admin edits questions mid-attempt</t>
        </is>
      </c>
      <c r="G19" s="15" t="inlineStr">
        <is>
          <t>Member has an assessment open</t>
        </is>
      </c>
      <c r="H19" s="10" t="inlineStr">
        <is>
          <t>/admin/passport/assessment</t>
        </is>
      </c>
      <c r="I19" s="15" t="inlineStr">
        <is>
          <t>1. As admin, edit or remove a question
2. As the member, submit the open attempt</t>
        </is>
      </c>
      <c r="J19" s="15" t="inlineStr">
        <is>
          <t>-</t>
        </is>
      </c>
      <c r="K19" s="15" t="inlineStr">
        <is>
          <t>The submission does not crash. The member is scored against what they were actually asked.</t>
        </is>
      </c>
      <c r="L19" s="15" t="inlineStr"/>
      <c r="M19" s="15" t="inlineStr"/>
      <c r="N19" s="15" t="inlineStr"/>
      <c r="O19" s="15" t="inlineStr"/>
      <c r="P19" s="15" t="inlineStr"/>
    </row>
    <row r="20" ht="78" customHeight="1">
      <c r="A20" s="14" t="inlineStr">
        <is>
          <t>TC-MEM-001</t>
        </is>
      </c>
      <c r="B20" s="15" t="inlineStr">
        <is>
          <t>Student</t>
        </is>
      </c>
      <c r="C20" s="15" t="inlineStr">
        <is>
          <t>Membership &amp; Payment</t>
        </is>
      </c>
      <c r="D20" s="16" t="inlineStr">
        <is>
          <t>Positive</t>
        </is>
      </c>
      <c r="E20" s="17" t="inlineStr">
        <is>
          <t>P0</t>
        </is>
      </c>
      <c r="F20" s="18" t="inlineStr">
        <is>
          <t>Buy a membership end to end</t>
        </is>
      </c>
      <c r="G20" s="15" t="inlineStr">
        <is>
          <t>Free member, price set to ₹1,599</t>
        </is>
      </c>
      <c r="H20" s="10" t="inlineStr">
        <is>
          <t>Any locked feature → Buy</t>
        </is>
      </c>
      <c r="I20" s="15" t="inlineStr">
        <is>
          <t>1. Tap a locked feature
2. Tap Buy
3. Complete Razorpay with a real card for ₹1
4. Return to the app</t>
        </is>
      </c>
      <c r="J20" s="15" t="inlineStr">
        <is>
          <t>Use Razorpay test mode, or ₹1 live then refund</t>
        </is>
      </c>
      <c r="K20" s="15" t="inlineStr">
        <is>
          <t>Payment succeeds, entitlements unlock immediately, expiry is set one year out, and the payment appears in the admin record. NOTE: this path has never completed in production — test it first.</t>
        </is>
      </c>
      <c r="L20" s="15" t="inlineStr"/>
      <c r="M20" s="15" t="inlineStr"/>
      <c r="N20" s="15" t="inlineStr"/>
      <c r="O20" s="15" t="inlineStr"/>
      <c r="P20" s="15" t="inlineStr"/>
    </row>
    <row r="21" ht="78" customHeight="1">
      <c r="A21" s="14" t="inlineStr">
        <is>
          <t>TC-MEM-002</t>
        </is>
      </c>
      <c r="B21" s="15" t="inlineStr">
        <is>
          <t>Student</t>
        </is>
      </c>
      <c r="C21" s="15" t="inlineStr">
        <is>
          <t>Membership &amp; Payment</t>
        </is>
      </c>
      <c r="D21" s="16" t="inlineStr">
        <is>
          <t>Positive</t>
        </is>
      </c>
      <c r="E21" s="17" t="inlineStr">
        <is>
          <t>P0</t>
        </is>
      </c>
      <c r="F21" s="18" t="inlineStr">
        <is>
          <t>The price shown is ₹1,599</t>
        </is>
      </c>
      <c r="G21" s="15" t="inlineStr">
        <is>
          <t>Admin config priceInr = 1599</t>
        </is>
      </c>
      <c r="H21" s="10" t="inlineStr">
        <is>
          <t>Any locked feature</t>
        </is>
      </c>
      <c r="I21" s="15" t="inlineStr">
        <is>
          <t>1. Open three different locked features
2. Note the price on each prompt</t>
        </is>
      </c>
      <c r="J21" s="15" t="inlineStr">
        <is>
          <t>-</t>
        </is>
      </c>
      <c r="K21" s="15" t="inlineStr">
        <is>
          <t>Every prompt and the Razorpay order all read ₹1,599. KNOWN DEFECT: production currently holds 499 — this test should FAIL until config is corrected.</t>
        </is>
      </c>
      <c r="L21" s="15" t="inlineStr"/>
      <c r="M21" s="15" t="inlineStr"/>
      <c r="N21" s="15" t="inlineStr"/>
      <c r="O21" s="15" t="inlineStr"/>
      <c r="P21" s="15" t="inlineStr"/>
    </row>
    <row r="22" ht="78" customHeight="1">
      <c r="A22" s="14" t="inlineStr">
        <is>
          <t>TC-MEM-003</t>
        </is>
      </c>
      <c r="B22" s="15" t="inlineStr">
        <is>
          <t>Student</t>
        </is>
      </c>
      <c r="C22" s="15" t="inlineStr">
        <is>
          <t>Membership &amp; Payment</t>
        </is>
      </c>
      <c r="D22" s="16" t="inlineStr">
        <is>
          <t>Positive</t>
        </is>
      </c>
      <c r="E22" s="19" t="inlineStr">
        <is>
          <t>P1</t>
        </is>
      </c>
      <c r="F22" s="18" t="inlineStr">
        <is>
          <t>Paid member sees every paid feature unlocked</t>
        </is>
      </c>
      <c r="G22" s="15" t="inlineStr">
        <is>
          <t>Membership active</t>
        </is>
      </c>
      <c r="H22" s="10" t="inlineStr">
        <is>
          <t>/careerpilot</t>
        </is>
      </c>
      <c r="I22" s="15" t="inlineStr">
        <is>
          <t>1. Visit roadmap, practice, resume, interview, companies and news in turn</t>
        </is>
      </c>
      <c r="J22" s="15" t="inlineStr">
        <is>
          <t>-</t>
        </is>
      </c>
      <c r="K22" s="15" t="inlineStr">
        <is>
          <t>No lock prompt appears anywhere. All paid entitlements resolve as unlocked.</t>
        </is>
      </c>
      <c r="L22" s="15" t="inlineStr"/>
      <c r="M22" s="15" t="inlineStr"/>
      <c r="N22" s="15" t="inlineStr"/>
      <c r="O22" s="15" t="inlineStr"/>
      <c r="P22" s="15" t="inlineStr"/>
    </row>
    <row r="23" ht="78" customHeight="1">
      <c r="A23" s="14" t="inlineStr">
        <is>
          <t>TC-MEM-004</t>
        </is>
      </c>
      <c r="B23" s="15" t="inlineStr">
        <is>
          <t>Student</t>
        </is>
      </c>
      <c r="C23" s="15" t="inlineStr">
        <is>
          <t>Membership &amp; Payment</t>
        </is>
      </c>
      <c r="D23" s="21" t="inlineStr">
        <is>
          <t>Negative</t>
        </is>
      </c>
      <c r="E23" s="17" t="inlineStr">
        <is>
          <t>P0</t>
        </is>
      </c>
      <c r="F23" s="18" t="inlineStr">
        <is>
          <t>Abandoned payment leaves the member free</t>
        </is>
      </c>
      <c r="G23" s="15" t="inlineStr">
        <is>
          <t>Free member</t>
        </is>
      </c>
      <c r="H23" s="10" t="inlineStr">
        <is>
          <t>Buy → Razorpay</t>
        </is>
      </c>
      <c r="I23" s="15" t="inlineStr">
        <is>
          <t>1. Start checkout
2. Close the Razorpay window without paying
3. Return to the app</t>
        </is>
      </c>
      <c r="J23" s="15" t="inlineStr">
        <is>
          <t>-</t>
        </is>
      </c>
      <c r="K23" s="15" t="inlineStr">
        <is>
          <t>Nothing unlocks. The member remains free and no membership record is created.</t>
        </is>
      </c>
      <c r="L23" s="15" t="inlineStr"/>
      <c r="M23" s="15" t="inlineStr"/>
      <c r="N23" s="15" t="inlineStr"/>
      <c r="O23" s="15" t="inlineStr"/>
      <c r="P23" s="15" t="inlineStr"/>
    </row>
    <row r="24" ht="78" customHeight="1">
      <c r="A24" s="14" t="inlineStr">
        <is>
          <t>TC-MEM-005</t>
        </is>
      </c>
      <c r="B24" s="15" t="inlineStr">
        <is>
          <t>Student</t>
        </is>
      </c>
      <c r="C24" s="15" t="inlineStr">
        <is>
          <t>Membership &amp; Payment</t>
        </is>
      </c>
      <c r="D24" s="21" t="inlineStr">
        <is>
          <t>Negative</t>
        </is>
      </c>
      <c r="E24" s="17" t="inlineStr">
        <is>
          <t>P0</t>
        </is>
      </c>
      <c r="F24" s="18" t="inlineStr">
        <is>
          <t>A tampered payment response is rejected</t>
        </is>
      </c>
      <c r="G24" s="15" t="inlineStr">
        <is>
          <t>Free member, browser dev tools open</t>
        </is>
      </c>
      <c r="H24" s="10" t="inlineStr">
        <is>
          <t>Buy → Razorpay</t>
        </is>
      </c>
      <c r="I24" s="15" t="inlineStr">
        <is>
          <t>1. Intercept the verify call
2. Alter the signature or payment id
3. Let it through</t>
        </is>
      </c>
      <c r="J24" s="15" t="inlineStr">
        <is>
          <t>-</t>
        </is>
      </c>
      <c r="K24" s="15" t="inlineStr">
        <is>
          <t>Server-side signature verification fails and NOTHING unlocks. A forged response must never grant a membership.</t>
        </is>
      </c>
      <c r="L24" s="15" t="inlineStr"/>
      <c r="M24" s="15" t="inlineStr"/>
      <c r="N24" s="15" t="inlineStr"/>
      <c r="O24" s="15" t="inlineStr"/>
      <c r="P24" s="15" t="inlineStr"/>
    </row>
    <row r="25" ht="78" customHeight="1">
      <c r="A25" s="14" t="inlineStr">
        <is>
          <t>TC-MEM-006</t>
        </is>
      </c>
      <c r="B25" s="15" t="inlineStr">
        <is>
          <t>Student</t>
        </is>
      </c>
      <c r="C25" s="15" t="inlineStr">
        <is>
          <t>Membership &amp; Payment</t>
        </is>
      </c>
      <c r="D25" s="22" t="inlineStr">
        <is>
          <t>Corner</t>
        </is>
      </c>
      <c r="E25" s="19" t="inlineStr">
        <is>
          <t>P1</t>
        </is>
      </c>
      <c r="F25" s="18" t="inlineStr">
        <is>
          <t>Membership expiring today</t>
        </is>
      </c>
      <c r="G25" s="15" t="inlineStr">
        <is>
          <t>Member whose expiresAt is today</t>
        </is>
      </c>
      <c r="H25" s="10" t="inlineStr">
        <is>
          <t>/careerpilot</t>
        </is>
      </c>
      <c r="I25" s="15" t="inlineStr">
        <is>
          <t>1. Open a paid feature before and after the expiry moment</t>
        </is>
      </c>
      <c r="J25" s="15" t="inlineStr">
        <is>
          <t>-</t>
        </is>
      </c>
      <c r="K25" s="15" t="inlineStr">
        <is>
          <t>Access is allowed up to expiry and refused after. The prompt to renew is clear rather than an error.</t>
        </is>
      </c>
      <c r="L25" s="15" t="inlineStr"/>
      <c r="M25" s="15" t="inlineStr"/>
      <c r="N25" s="15" t="inlineStr"/>
      <c r="O25" s="15" t="inlineStr"/>
      <c r="P25" s="15" t="inlineStr"/>
    </row>
    <row r="26" ht="78" customHeight="1">
      <c r="A26" s="14" t="inlineStr">
        <is>
          <t>TC-MEM-007</t>
        </is>
      </c>
      <c r="B26" s="15" t="inlineStr">
        <is>
          <t>Student</t>
        </is>
      </c>
      <c r="C26" s="15" t="inlineStr">
        <is>
          <t>Membership &amp; Payment</t>
        </is>
      </c>
      <c r="D26" s="22" t="inlineStr">
        <is>
          <t>Corner</t>
        </is>
      </c>
      <c r="E26" s="19" t="inlineStr">
        <is>
          <t>P1</t>
        </is>
      </c>
      <c r="F26" s="18" t="inlineStr">
        <is>
          <t>Buying while already a member</t>
        </is>
      </c>
      <c r="G26" s="15" t="inlineStr">
        <is>
          <t>Active member</t>
        </is>
      </c>
      <c r="H26" s="10" t="inlineStr">
        <is>
          <t>Buy prompt</t>
        </is>
      </c>
      <c r="I26" s="15" t="inlineStr">
        <is>
          <t>1. Reach a Buy prompt by direct URL
2. Attempt to pay again</t>
        </is>
      </c>
      <c r="J26" s="15" t="inlineStr">
        <is>
          <t>-</t>
        </is>
      </c>
      <c r="K26" s="15" t="inlineStr">
        <is>
          <t>Either the purchase is prevented, or the existing membership is extended rather than replaced. The member must not lose remaining days.</t>
        </is>
      </c>
      <c r="L26" s="15" t="inlineStr"/>
      <c r="M26" s="15" t="inlineStr"/>
      <c r="N26" s="15" t="inlineStr"/>
      <c r="O26" s="15" t="inlineStr"/>
      <c r="P26" s="15" t="inlineStr"/>
    </row>
    <row r="27" ht="78" customHeight="1">
      <c r="A27" s="14" t="inlineStr">
        <is>
          <t>TC-MEM-008</t>
        </is>
      </c>
      <c r="B27" s="15" t="inlineStr">
        <is>
          <t>Student</t>
        </is>
      </c>
      <c r="C27" s="15" t="inlineStr">
        <is>
          <t>Membership &amp; Payment</t>
        </is>
      </c>
      <c r="D27" s="22" t="inlineStr">
        <is>
          <t>Corner</t>
        </is>
      </c>
      <c r="E27" s="20" t="inlineStr">
        <is>
          <t>P2</t>
        </is>
      </c>
      <c r="F27" s="18" t="inlineStr">
        <is>
          <t>Payment succeeds but the app is closed mid-flow</t>
        </is>
      </c>
      <c r="G27" s="15" t="inlineStr">
        <is>
          <t>Free member</t>
        </is>
      </c>
      <c r="H27" s="10" t="inlineStr">
        <is>
          <t>Buy → Razorpay</t>
        </is>
      </c>
      <c r="I27" s="15" t="inlineStr">
        <is>
          <t>1. Pay successfully
2. Kill the browser before returning
3. Log in again</t>
        </is>
      </c>
      <c r="J27" s="15" t="inlineStr">
        <is>
          <t>-</t>
        </is>
      </c>
      <c r="K27" s="15" t="inlineStr">
        <is>
          <t>The membership is active on next login. Money taken must never leave the member unentitled.</t>
        </is>
      </c>
      <c r="L27" s="15" t="inlineStr"/>
      <c r="M27" s="15" t="inlineStr"/>
      <c r="N27" s="15" t="inlineStr"/>
      <c r="O27" s="15" t="inlineStr"/>
      <c r="P27" s="15" t="inlineStr"/>
    </row>
    <row r="28" ht="78" customHeight="1">
      <c r="A28" s="14" t="inlineStr">
        <is>
          <t>TC-MIS-001</t>
        </is>
      </c>
      <c r="B28" s="15" t="inlineStr">
        <is>
          <t>Student</t>
        </is>
      </c>
      <c r="C28" s="15" t="inlineStr">
        <is>
          <t>Mission Control &amp; Streak</t>
        </is>
      </c>
      <c r="D28" s="16" t="inlineStr">
        <is>
          <t>Positive</t>
        </is>
      </c>
      <c r="E28" s="17" t="inlineStr">
        <is>
          <t>P0</t>
        </is>
      </c>
      <c r="F28" s="18" t="inlineStr">
        <is>
          <t>Complete today's missions</t>
        </is>
      </c>
      <c r="G28" s="15" t="inlineStr">
        <is>
          <t>Paid member</t>
        </is>
      </c>
      <c r="H28" s="10" t="inlineStr">
        <is>
          <t>/careerpilot</t>
        </is>
      </c>
      <c r="I28" s="15" t="inlineStr">
        <is>
          <t>1. Open the dashboard
2. Complete each mission listed for today</t>
        </is>
      </c>
      <c r="J28" s="15" t="inlineStr">
        <is>
          <t>-</t>
        </is>
      </c>
      <c r="K28" s="15" t="inlineStr">
        <is>
          <t>Each mission marks complete, progress updates immediately, and coins/XP are credited per the admin rules.</t>
        </is>
      </c>
      <c r="L28" s="15" t="inlineStr"/>
      <c r="M28" s="15" t="inlineStr"/>
      <c r="N28" s="15" t="inlineStr"/>
      <c r="O28" s="15" t="inlineStr"/>
      <c r="P28" s="15" t="inlineStr"/>
    </row>
    <row r="29" ht="78" customHeight="1">
      <c r="A29" s="14" t="inlineStr">
        <is>
          <t>TC-MIS-002</t>
        </is>
      </c>
      <c r="B29" s="15" t="inlineStr">
        <is>
          <t>Student</t>
        </is>
      </c>
      <c r="C29" s="15" t="inlineStr">
        <is>
          <t>Mission Control &amp; Streak</t>
        </is>
      </c>
      <c r="D29" s="16" t="inlineStr">
        <is>
          <t>Positive</t>
        </is>
      </c>
      <c r="E29" s="19" t="inlineStr">
        <is>
          <t>P1</t>
        </is>
      </c>
      <c r="F29" s="18" t="inlineStr">
        <is>
          <t>Streak increases across consecutive days</t>
        </is>
      </c>
      <c r="G29" s="15" t="inlineStr">
        <is>
          <t>Member completed yesterday's missions</t>
        </is>
      </c>
      <c r="H29" s="10" t="inlineStr">
        <is>
          <t>/careerpilot</t>
        </is>
      </c>
      <c r="I29" s="15" t="inlineStr">
        <is>
          <t>1. Complete today's missions
2. Check the streak counter</t>
        </is>
      </c>
      <c r="J29" s="15" t="inlineStr">
        <is>
          <t>-</t>
        </is>
      </c>
      <c r="K29" s="15" t="inlineStr">
        <is>
          <t>The streak increments by exactly one. It does not reset.</t>
        </is>
      </c>
      <c r="L29" s="15" t="inlineStr"/>
      <c r="M29" s="15" t="inlineStr"/>
      <c r="N29" s="15" t="inlineStr"/>
      <c r="O29" s="15" t="inlineStr"/>
      <c r="P29" s="15" t="inlineStr"/>
    </row>
    <row r="30" ht="78" customHeight="1">
      <c r="A30" s="14" t="inlineStr">
        <is>
          <t>TC-MIS-003</t>
        </is>
      </c>
      <c r="B30" s="15" t="inlineStr">
        <is>
          <t>Student</t>
        </is>
      </c>
      <c r="C30" s="15" t="inlineStr">
        <is>
          <t>Mission Control &amp; Streak</t>
        </is>
      </c>
      <c r="D30" s="21" t="inlineStr">
        <is>
          <t>Negative</t>
        </is>
      </c>
      <c r="E30" s="19" t="inlineStr">
        <is>
          <t>P1</t>
        </is>
      </c>
      <c r="F30" s="18" t="inlineStr">
        <is>
          <t>Free member cannot access daily missions</t>
        </is>
      </c>
      <c r="G30" s="15" t="inlineStr">
        <is>
          <t>Free member</t>
        </is>
      </c>
      <c r="H30" s="10" t="inlineStr">
        <is>
          <t>/careerpilot</t>
        </is>
      </c>
      <c r="I30" s="15" t="inlineStr">
        <is>
          <t>1. Open the dashboard</t>
        </is>
      </c>
      <c r="J30" s="15" t="inlineStr">
        <is>
          <t>-</t>
        </is>
      </c>
      <c r="K30" s="15" t="inlineStr">
        <is>
          <t>Missions are shown as locked with a clear upgrade prompt, not as an error or a blank panel.</t>
        </is>
      </c>
      <c r="L30" s="15" t="inlineStr"/>
      <c r="M30" s="15" t="inlineStr"/>
      <c r="N30" s="15" t="inlineStr"/>
      <c r="O30" s="15" t="inlineStr"/>
      <c r="P30" s="15" t="inlineStr"/>
    </row>
    <row r="31" ht="78" customHeight="1">
      <c r="A31" s="14" t="inlineStr">
        <is>
          <t>TC-MIS-004</t>
        </is>
      </c>
      <c r="B31" s="15" t="inlineStr">
        <is>
          <t>Student</t>
        </is>
      </c>
      <c r="C31" s="15" t="inlineStr">
        <is>
          <t>Mission Control &amp; Streak</t>
        </is>
      </c>
      <c r="D31" s="21" t="inlineStr">
        <is>
          <t>Negative</t>
        </is>
      </c>
      <c r="E31" s="20" t="inlineStr">
        <is>
          <t>P2</t>
        </is>
      </c>
      <c r="F31" s="18" t="inlineStr">
        <is>
          <t>A mission cannot be completed twice for extra reward</t>
        </is>
      </c>
      <c r="G31" s="15" t="inlineStr">
        <is>
          <t>Paid member</t>
        </is>
      </c>
      <c r="H31" s="10" t="inlineStr">
        <is>
          <t>/careerpilot</t>
        </is>
      </c>
      <c r="I31" s="15" t="inlineStr">
        <is>
          <t>1. Complete a mission
2. Replay the completion request</t>
        </is>
      </c>
      <c r="J31" s="15" t="inlineStr">
        <is>
          <t>-</t>
        </is>
      </c>
      <c r="K31" s="15" t="inlineStr">
        <is>
          <t>The second attempt credits nothing. The coin ledger's idempotency key prevents a double credit.</t>
        </is>
      </c>
      <c r="L31" s="15" t="inlineStr"/>
      <c r="M31" s="15" t="inlineStr"/>
      <c r="N31" s="15" t="inlineStr"/>
      <c r="O31" s="15" t="inlineStr"/>
      <c r="P31" s="15" t="inlineStr"/>
    </row>
    <row r="32" ht="78" customHeight="1">
      <c r="A32" s="14" t="inlineStr">
        <is>
          <t>TC-MIS-005</t>
        </is>
      </c>
      <c r="B32" s="15" t="inlineStr">
        <is>
          <t>Student</t>
        </is>
      </c>
      <c r="C32" s="15" t="inlineStr">
        <is>
          <t>Mission Control &amp; Streak</t>
        </is>
      </c>
      <c r="D32" s="22" t="inlineStr">
        <is>
          <t>Corner</t>
        </is>
      </c>
      <c r="E32" s="19" t="inlineStr">
        <is>
          <t>P1</t>
        </is>
      </c>
      <c r="F32" s="18" t="inlineStr">
        <is>
          <t>A day is missed</t>
        </is>
      </c>
      <c r="G32" s="15" t="inlineStr">
        <is>
          <t>Member with a streak who skips a day</t>
        </is>
      </c>
      <c r="H32" s="10" t="inlineStr">
        <is>
          <t>/careerpilot</t>
        </is>
      </c>
      <c r="I32" s="15" t="inlineStr">
        <is>
          <t>1. Do not complete anything for a full day
2. Return the following day</t>
        </is>
      </c>
      <c r="J32" s="15" t="inlineStr">
        <is>
          <t>-</t>
        </is>
      </c>
      <c r="K32" s="15" t="inlineStr">
        <is>
          <t>The streak resets according to the documented rule and the member is told why, rather than the number silently changing.</t>
        </is>
      </c>
      <c r="L32" s="15" t="inlineStr"/>
      <c r="M32" s="15" t="inlineStr"/>
      <c r="N32" s="15" t="inlineStr"/>
      <c r="O32" s="15" t="inlineStr"/>
      <c r="P32" s="15" t="inlineStr"/>
    </row>
    <row r="33" ht="78" customHeight="1">
      <c r="A33" s="14" t="inlineStr">
        <is>
          <t>TC-MIS-006</t>
        </is>
      </c>
      <c r="B33" s="15" t="inlineStr">
        <is>
          <t>Student</t>
        </is>
      </c>
      <c r="C33" s="15" t="inlineStr">
        <is>
          <t>Mission Control &amp; Streak</t>
        </is>
      </c>
      <c r="D33" s="22" t="inlineStr">
        <is>
          <t>Corner</t>
        </is>
      </c>
      <c r="E33" s="20" t="inlineStr">
        <is>
          <t>P2</t>
        </is>
      </c>
      <c r="F33" s="18" t="inlineStr">
        <is>
          <t>Midnight crossing mid-session</t>
        </is>
      </c>
      <c r="G33" s="15" t="inlineStr">
        <is>
          <t>Member active at 23:59 IST</t>
        </is>
      </c>
      <c r="H33" s="10" t="inlineStr">
        <is>
          <t>/careerpilot</t>
        </is>
      </c>
      <c r="I33" s="15" t="inlineStr">
        <is>
          <t>1. Open missions at 23:58
2. Complete one at 00:01</t>
        </is>
      </c>
      <c r="J33" s="15" t="inlineStr">
        <is>
          <t>-</t>
        </is>
      </c>
      <c r="K33" s="15" t="inlineStr">
        <is>
          <t>The completion is attributed to a single, unambiguous day. No mission is credited to both days or lost between them.</t>
        </is>
      </c>
      <c r="L33" s="15" t="inlineStr"/>
      <c r="M33" s="15" t="inlineStr"/>
      <c r="N33" s="15" t="inlineStr"/>
      <c r="O33" s="15" t="inlineStr"/>
      <c r="P33" s="15" t="inlineStr"/>
    </row>
    <row r="34" ht="78" customHeight="1">
      <c r="A34" s="14" t="inlineStr">
        <is>
          <t>TC-ROAD-001</t>
        </is>
      </c>
      <c r="B34" s="15" t="inlineStr">
        <is>
          <t>Student</t>
        </is>
      </c>
      <c r="C34" s="15" t="inlineStr">
        <is>
          <t>90-Day Roadmap</t>
        </is>
      </c>
      <c r="D34" s="16" t="inlineStr">
        <is>
          <t>Positive</t>
        </is>
      </c>
      <c r="E34" s="17" t="inlineStr">
        <is>
          <t>P0</t>
        </is>
      </c>
      <c r="F34" s="18" t="inlineStr">
        <is>
          <t>Free member sees a 7-day preview</t>
        </is>
      </c>
      <c r="G34" s="15" t="inlineStr">
        <is>
          <t>Assessment complete, free member</t>
        </is>
      </c>
      <c r="H34" s="10" t="inlineStr">
        <is>
          <t>/careerpilot/roadmap</t>
        </is>
      </c>
      <c r="I34" s="15" t="inlineStr">
        <is>
          <t>1. Open the roadmap
2. Scroll to the end of the visible plan</t>
        </is>
      </c>
      <c r="J34" s="15" t="inlineStr">
        <is>
          <t>-</t>
        </is>
      </c>
      <c r="K34" s="15" t="inlineStr">
        <is>
          <t>Exactly 7 days are readable, and the remainder is visibly present but locked with an upgrade prompt.</t>
        </is>
      </c>
      <c r="L34" s="15" t="inlineStr"/>
      <c r="M34" s="15" t="inlineStr"/>
      <c r="N34" s="15" t="inlineStr"/>
      <c r="O34" s="15" t="inlineStr"/>
      <c r="P34" s="15" t="inlineStr"/>
    </row>
    <row r="35" ht="78" customHeight="1">
      <c r="A35" s="14" t="inlineStr">
        <is>
          <t>TC-ROAD-002</t>
        </is>
      </c>
      <c r="B35" s="15" t="inlineStr">
        <is>
          <t>Student</t>
        </is>
      </c>
      <c r="C35" s="15" t="inlineStr">
        <is>
          <t>90-Day Roadmap</t>
        </is>
      </c>
      <c r="D35" s="16" t="inlineStr">
        <is>
          <t>Positive</t>
        </is>
      </c>
      <c r="E35" s="17" t="inlineStr">
        <is>
          <t>P0</t>
        </is>
      </c>
      <c r="F35" s="18" t="inlineStr">
        <is>
          <t>Paid member sees the full 90 days</t>
        </is>
      </c>
      <c r="G35" s="15" t="inlineStr">
        <is>
          <t>Membership active</t>
        </is>
      </c>
      <c r="H35" s="10" t="inlineStr">
        <is>
          <t>/careerpilot/roadmap</t>
        </is>
      </c>
      <c r="I35" s="15" t="inlineStr">
        <is>
          <t>1. Open the roadmap
2. Scroll to day 90</t>
        </is>
      </c>
      <c r="J35" s="15" t="inlineStr">
        <is>
          <t>-</t>
        </is>
      </c>
      <c r="K35" s="15" t="inlineStr">
        <is>
          <t>All 90 days are readable with no lock anywhere.</t>
        </is>
      </c>
      <c r="L35" s="15" t="inlineStr"/>
      <c r="M35" s="15" t="inlineStr"/>
      <c r="N35" s="15" t="inlineStr"/>
      <c r="O35" s="15" t="inlineStr"/>
      <c r="P35" s="15" t="inlineStr"/>
    </row>
    <row r="36" ht="78" customHeight="1">
      <c r="A36" s="14" t="inlineStr">
        <is>
          <t>TC-ROAD-003</t>
        </is>
      </c>
      <c r="B36" s="15" t="inlineStr">
        <is>
          <t>Student</t>
        </is>
      </c>
      <c r="C36" s="15" t="inlineStr">
        <is>
          <t>90-Day Roadmap</t>
        </is>
      </c>
      <c r="D36" s="21" t="inlineStr">
        <is>
          <t>Negative</t>
        </is>
      </c>
      <c r="E36" s="19" t="inlineStr">
        <is>
          <t>P1</t>
        </is>
      </c>
      <c r="F36" s="18" t="inlineStr">
        <is>
          <t>Roadmap before the assessment</t>
        </is>
      </c>
      <c r="G36" s="15" t="inlineStr">
        <is>
          <t>Member registered, assessment not taken</t>
        </is>
      </c>
      <c r="H36" s="10" t="inlineStr">
        <is>
          <t>/careerpilot/roadmap</t>
        </is>
      </c>
      <c r="I36" s="15" t="inlineStr">
        <is>
          <t>1. Open the roadmap directly</t>
        </is>
      </c>
      <c r="J36" s="15" t="inlineStr">
        <is>
          <t>-</t>
        </is>
      </c>
      <c r="K36" s="15" t="inlineStr">
        <is>
          <t>The member is guided to take the assessment first. No empty or broken plan is rendered.</t>
        </is>
      </c>
      <c r="L36" s="15" t="inlineStr"/>
      <c r="M36" s="15" t="inlineStr"/>
      <c r="N36" s="15" t="inlineStr"/>
      <c r="O36" s="15" t="inlineStr"/>
      <c r="P36" s="15" t="inlineStr"/>
    </row>
    <row r="37" ht="78" customHeight="1">
      <c r="A37" s="14" t="inlineStr">
        <is>
          <t>TC-ROAD-004</t>
        </is>
      </c>
      <c r="B37" s="15" t="inlineStr">
        <is>
          <t>Student</t>
        </is>
      </c>
      <c r="C37" s="15" t="inlineStr">
        <is>
          <t>90-Day Roadmap</t>
        </is>
      </c>
      <c r="D37" s="22" t="inlineStr">
        <is>
          <t>Corner</t>
        </is>
      </c>
      <c r="E37" s="20" t="inlineStr">
        <is>
          <t>P2</t>
        </is>
      </c>
      <c r="F37" s="18" t="inlineStr">
        <is>
          <t>Retaking the assessment changes the roadmap</t>
        </is>
      </c>
      <c r="G37" s="15" t="inlineStr">
        <is>
          <t>Assessment already complete</t>
        </is>
      </c>
      <c r="H37" s="10" t="inlineStr">
        <is>
          <t>/careerpilot/assessment</t>
        </is>
      </c>
      <c r="I37" s="15" t="inlineStr">
        <is>
          <t>1. Reset and retake with markedly different answers
2. Reopen the roadmap</t>
        </is>
      </c>
      <c r="J37" s="15" t="inlineStr">
        <is>
          <t>-</t>
        </is>
      </c>
      <c r="K37" s="15" t="inlineStr">
        <is>
          <t>The roadmap reflects the new result. Stale content from the previous attempt does not survive.</t>
        </is>
      </c>
      <c r="L37" s="15" t="inlineStr"/>
      <c r="M37" s="15" t="inlineStr"/>
      <c r="N37" s="15" t="inlineStr"/>
      <c r="O37" s="15" t="inlineStr"/>
      <c r="P37" s="15" t="inlineStr"/>
    </row>
    <row r="38" ht="78" customHeight="1">
      <c r="A38" s="14" t="inlineStr">
        <is>
          <t>TC-PRAC-001</t>
        </is>
      </c>
      <c r="B38" s="15" t="inlineStr">
        <is>
          <t>Student</t>
        </is>
      </c>
      <c r="C38" s="15" t="inlineStr">
        <is>
          <t>Practice — Coding, SQL, MCQ</t>
        </is>
      </c>
      <c r="D38" s="16" t="inlineStr">
        <is>
          <t>Positive</t>
        </is>
      </c>
      <c r="E38" s="17" t="inlineStr">
        <is>
          <t>P0</t>
        </is>
      </c>
      <c r="F38" s="18" t="inlineStr">
        <is>
          <t>Run correct code and pass</t>
        </is>
      </c>
      <c r="G38" s="15" t="inlineStr">
        <is>
          <t>Paid member</t>
        </is>
      </c>
      <c r="H38" s="10" t="inlineStr">
        <is>
          <t>/careerpilot/practice → open a problem</t>
        </is>
      </c>
      <c r="I38" s="15" t="inlineStr">
        <is>
          <t>1. Open a coding problem
2. Write a correct solution
3. Tap Run, then Submit</t>
        </is>
      </c>
      <c r="J38" s="15" t="inlineStr">
        <is>
          <t>A known-good solution in Python</t>
        </is>
      </c>
      <c r="K38" s="15" t="inlineStr">
        <is>
          <t>Output matches, all test cases pass, and the submission is saved and visible on return.</t>
        </is>
      </c>
      <c r="L38" s="15" t="inlineStr"/>
      <c r="M38" s="15" t="inlineStr"/>
      <c r="N38" s="15" t="inlineStr"/>
      <c r="O38" s="15" t="inlineStr"/>
      <c r="P38" s="15" t="inlineStr"/>
    </row>
    <row r="39" ht="78" customHeight="1">
      <c r="A39" s="14" t="inlineStr">
        <is>
          <t>TC-PRAC-002</t>
        </is>
      </c>
      <c r="B39" s="15" t="inlineStr">
        <is>
          <t>Student</t>
        </is>
      </c>
      <c r="C39" s="15" t="inlineStr">
        <is>
          <t>Practice — Coding, SQL, MCQ</t>
        </is>
      </c>
      <c r="D39" s="16" t="inlineStr">
        <is>
          <t>Positive</t>
        </is>
      </c>
      <c r="E39" s="19" t="inlineStr">
        <is>
          <t>P1</t>
        </is>
      </c>
      <c r="F39" s="18" t="inlineStr">
        <is>
          <t>Run Java successfully</t>
        </is>
      </c>
      <c r="G39" s="15" t="inlineStr">
        <is>
          <t>Paid member</t>
        </is>
      </c>
      <c r="H39" s="10" t="inlineStr">
        <is>
          <t>/careerpilot/practice/:id</t>
        </is>
      </c>
      <c r="I39" s="15" t="inlineStr">
        <is>
          <t>1. Choose Java
2. Submit a correct solution</t>
        </is>
      </c>
      <c r="J39" s="15" t="inlineStr">
        <is>
          <t>Java Hello World plus the problem logic</t>
        </is>
      </c>
      <c r="K39" s="15" t="inlineStr">
        <is>
          <t>Compiles and runs within the timeout. Java is a heavy language and is throttled separately — it should still complete.</t>
        </is>
      </c>
      <c r="L39" s="15" t="inlineStr"/>
      <c r="M39" s="15" t="inlineStr"/>
      <c r="N39" s="15" t="inlineStr"/>
      <c r="O39" s="15" t="inlineStr"/>
      <c r="P39" s="15" t="inlineStr"/>
    </row>
    <row r="40" ht="78" customHeight="1">
      <c r="A40" s="14" t="inlineStr">
        <is>
          <t>TC-PRAC-003</t>
        </is>
      </c>
      <c r="B40" s="15" t="inlineStr">
        <is>
          <t>Student</t>
        </is>
      </c>
      <c r="C40" s="15" t="inlineStr">
        <is>
          <t>Practice — Coding, SQL, MCQ</t>
        </is>
      </c>
      <c r="D40" s="16" t="inlineStr">
        <is>
          <t>Positive</t>
        </is>
      </c>
      <c r="E40" s="20" t="inlineStr">
        <is>
          <t>P2</t>
        </is>
      </c>
      <c r="F40" s="18" t="inlineStr">
        <is>
          <t>Saved work survives a reload</t>
        </is>
      </c>
      <c r="G40" s="15" t="inlineStr">
        <is>
          <t>Practice problem partly solved</t>
        </is>
      </c>
      <c r="H40" s="10" t="inlineStr">
        <is>
          <t>/careerpilot/practice/:id</t>
        </is>
      </c>
      <c r="I40" s="15" t="inlineStr">
        <is>
          <t>1. Write half a solution
2. Reload the page</t>
        </is>
      </c>
      <c r="J40" s="15" t="inlineStr">
        <is>
          <t>-</t>
        </is>
      </c>
      <c r="K40" s="15" t="inlineStr">
        <is>
          <t>The editor still holds the member's code.</t>
        </is>
      </c>
      <c r="L40" s="15" t="inlineStr"/>
      <c r="M40" s="15" t="inlineStr"/>
      <c r="N40" s="15" t="inlineStr"/>
      <c r="O40" s="15" t="inlineStr"/>
      <c r="P40" s="15" t="inlineStr"/>
    </row>
    <row r="41" ht="78" customHeight="1">
      <c r="A41" s="14" t="inlineStr">
        <is>
          <t>TC-PRAC-004</t>
        </is>
      </c>
      <c r="B41" s="15" t="inlineStr">
        <is>
          <t>Student</t>
        </is>
      </c>
      <c r="C41" s="15" t="inlineStr">
        <is>
          <t>Practice — Coding, SQL, MCQ</t>
        </is>
      </c>
      <c r="D41" s="21" t="inlineStr">
        <is>
          <t>Negative</t>
        </is>
      </c>
      <c r="E41" s="17" t="inlineStr">
        <is>
          <t>P0</t>
        </is>
      </c>
      <c r="F41" s="18" t="inlineStr">
        <is>
          <t>Code with a compile error</t>
        </is>
      </c>
      <c r="G41" s="15" t="inlineStr">
        <is>
          <t>Paid member</t>
        </is>
      </c>
      <c r="H41" s="10" t="inlineStr">
        <is>
          <t>/careerpilot/practice/:id</t>
        </is>
      </c>
      <c r="I41" s="15" t="inlineStr">
        <is>
          <t>1. Submit code with a deliberate syntax error</t>
        </is>
      </c>
      <c r="J41" s="15" t="inlineStr">
        <is>
          <t>Remove a semicolon in Java</t>
        </is>
      </c>
      <c r="K41" s="15" t="inlineStr">
        <is>
          <t>The COMPILE ERROR TEXT is shown to the student. A bare '(no output)' is a defect — the student cannot learn from it.</t>
        </is>
      </c>
      <c r="L41" s="15" t="inlineStr"/>
      <c r="M41" s="15" t="inlineStr"/>
      <c r="N41" s="15" t="inlineStr"/>
      <c r="O41" s="15" t="inlineStr"/>
      <c r="P41" s="15" t="inlineStr"/>
    </row>
    <row r="42" ht="78" customHeight="1">
      <c r="A42" s="14" t="inlineStr">
        <is>
          <t>TC-PRAC-005</t>
        </is>
      </c>
      <c r="B42" s="15" t="inlineStr">
        <is>
          <t>Student</t>
        </is>
      </c>
      <c r="C42" s="15" t="inlineStr">
        <is>
          <t>Practice — Coding, SQL, MCQ</t>
        </is>
      </c>
      <c r="D42" s="21" t="inlineStr">
        <is>
          <t>Negative</t>
        </is>
      </c>
      <c r="E42" s="17" t="inlineStr">
        <is>
          <t>P0</t>
        </is>
      </c>
      <c r="F42" s="18" t="inlineStr">
        <is>
          <t>Infinite loop is stopped</t>
        </is>
      </c>
      <c r="G42" s="15" t="inlineStr">
        <is>
          <t>Paid member</t>
        </is>
      </c>
      <c r="H42" s="10" t="inlineStr">
        <is>
          <t>/careerpilot/practice/:id</t>
        </is>
      </c>
      <c r="I42" s="15" t="inlineStr">
        <is>
          <t>1. Submit `while(true){}`
2. Wait</t>
        </is>
      </c>
      <c r="J42" s="15" t="inlineStr">
        <is>
          <t>while True: pass</t>
        </is>
      </c>
      <c r="K42" s="15" t="inlineStr">
        <is>
          <t>The run is killed at the timeout and the message says the code ran too long — clearly distinguished from a server error.</t>
        </is>
      </c>
      <c r="L42" s="15" t="inlineStr"/>
      <c r="M42" s="15" t="inlineStr"/>
      <c r="N42" s="15" t="inlineStr"/>
      <c r="O42" s="15" t="inlineStr"/>
      <c r="P42" s="15" t="inlineStr"/>
    </row>
    <row r="43" ht="78" customHeight="1">
      <c r="A43" s="14" t="inlineStr">
        <is>
          <t>TC-PRAC-006</t>
        </is>
      </c>
      <c r="B43" s="15" t="inlineStr">
        <is>
          <t>Student</t>
        </is>
      </c>
      <c r="C43" s="15" t="inlineStr">
        <is>
          <t>Practice — Coding, SQL, MCQ</t>
        </is>
      </c>
      <c r="D43" s="21" t="inlineStr">
        <is>
          <t>Negative</t>
        </is>
      </c>
      <c r="E43" s="19" t="inlineStr">
        <is>
          <t>P1</t>
        </is>
      </c>
      <c r="F43" s="18" t="inlineStr">
        <is>
          <t>Free member is blocked from practice</t>
        </is>
      </c>
      <c r="G43" s="15" t="inlineStr">
        <is>
          <t>Free member</t>
        </is>
      </c>
      <c r="H43" s="10" t="inlineStr">
        <is>
          <t>/careerpilot/practice</t>
        </is>
      </c>
      <c r="I43" s="15" t="inlineStr">
        <is>
          <t>1. Open practice</t>
        </is>
      </c>
      <c r="J43" s="15" t="inlineStr">
        <is>
          <t>-</t>
        </is>
      </c>
      <c r="K43" s="15" t="inlineStr">
        <is>
          <t>A clear upgrade prompt, not an error page.</t>
        </is>
      </c>
      <c r="L43" s="15" t="inlineStr"/>
      <c r="M43" s="15" t="inlineStr"/>
      <c r="N43" s="15" t="inlineStr"/>
      <c r="O43" s="15" t="inlineStr"/>
      <c r="P43" s="15" t="inlineStr"/>
    </row>
    <row r="44" ht="78" customHeight="1">
      <c r="A44" s="14" t="inlineStr">
        <is>
          <t>TC-PRAC-007</t>
        </is>
      </c>
      <c r="B44" s="15" t="inlineStr">
        <is>
          <t>Student</t>
        </is>
      </c>
      <c r="C44" s="15" t="inlineStr">
        <is>
          <t>Practice — Coding, SQL, MCQ</t>
        </is>
      </c>
      <c r="D44" s="22" t="inlineStr">
        <is>
          <t>Corner</t>
        </is>
      </c>
      <c r="E44" s="17" t="inlineStr">
        <is>
          <t>P0</t>
        </is>
      </c>
      <c r="F44" s="18" t="inlineStr">
        <is>
          <t>Many members run heavy code at once</t>
        </is>
      </c>
      <c r="G44" s="15" t="inlineStr">
        <is>
          <t>6+ testers, all paid</t>
        </is>
      </c>
      <c r="H44" s="10" t="inlineStr">
        <is>
          <t>/careerpilot/practice/:id</t>
        </is>
      </c>
      <c r="I44" s="15" t="inlineStr">
        <is>
          <t>1. Have six testers submit Java within the same few seconds</t>
        </is>
      </c>
      <c r="J44" s="15" t="inlineStr">
        <is>
          <t>Any correct Java solution</t>
        </is>
      </c>
      <c r="K44" s="15" t="inlineStr">
        <is>
          <t>All six eventually succeed. Some may queue. NONE should report a crash or a killed process — six concurrent Java runs previously killed each other, which is why a two-pool queue exists.</t>
        </is>
      </c>
      <c r="L44" s="15" t="inlineStr"/>
      <c r="M44" s="15" t="inlineStr"/>
      <c r="N44" s="15" t="inlineStr"/>
      <c r="O44" s="15" t="inlineStr"/>
      <c r="P44" s="15" t="inlineStr"/>
    </row>
    <row r="45" ht="78" customHeight="1">
      <c r="A45" s="14" t="inlineStr">
        <is>
          <t>TC-PRAC-008</t>
        </is>
      </c>
      <c r="B45" s="15" t="inlineStr">
        <is>
          <t>Student</t>
        </is>
      </c>
      <c r="C45" s="15" t="inlineStr">
        <is>
          <t>Practice — Coding, SQL, MCQ</t>
        </is>
      </c>
      <c r="D45" s="22" t="inlineStr">
        <is>
          <t>Corner</t>
        </is>
      </c>
      <c r="E45" s="19" t="inlineStr">
        <is>
          <t>P1</t>
        </is>
      </c>
      <c r="F45" s="18" t="inlineStr">
        <is>
          <t>Output differing only by whitespace</t>
        </is>
      </c>
      <c r="G45" s="15" t="inlineStr">
        <is>
          <t>Paid member</t>
        </is>
      </c>
      <c r="H45" s="10" t="inlineStr">
        <is>
          <t>/careerpilot/practice/:id</t>
        </is>
      </c>
      <c r="I45" s="15" t="inlineStr">
        <is>
          <t>1. Submit a correct answer with a trailing newline or extra spaces</t>
        </is>
      </c>
      <c r="J45" s="15" t="inlineStr">
        <is>
          <t>-</t>
        </is>
      </c>
      <c r="K45" s="15" t="inlineStr">
        <is>
          <t>It is accepted under lenient comparison, with a diff hint if it is rejected. Trailing whitespace must not fail a correct answer.</t>
        </is>
      </c>
      <c r="L45" s="15" t="inlineStr"/>
      <c r="M45" s="15" t="inlineStr"/>
      <c r="N45" s="15" t="inlineStr"/>
      <c r="O45" s="15" t="inlineStr"/>
      <c r="P45" s="15" t="inlineStr"/>
    </row>
    <row r="46" ht="78" customHeight="1">
      <c r="A46" s="14" t="inlineStr">
        <is>
          <t>TC-PRAC-009</t>
        </is>
      </c>
      <c r="B46" s="15" t="inlineStr">
        <is>
          <t>Student</t>
        </is>
      </c>
      <c r="C46" s="15" t="inlineStr">
        <is>
          <t>Practice — Coding, SQL, MCQ</t>
        </is>
      </c>
      <c r="D46" s="22" t="inlineStr">
        <is>
          <t>Corner</t>
        </is>
      </c>
      <c r="E46" s="20" t="inlineStr">
        <is>
          <t>P2</t>
        </is>
      </c>
      <c r="F46" s="18" t="inlineStr">
        <is>
          <t>Very large output</t>
        </is>
      </c>
      <c r="G46" s="15" t="inlineStr">
        <is>
          <t>Paid member</t>
        </is>
      </c>
      <c r="H46" s="10" t="inlineStr">
        <is>
          <t>/careerpilot/practice/:id</t>
        </is>
      </c>
      <c r="I46" s="15" t="inlineStr">
        <is>
          <t>1. Print 100,000 lines</t>
        </is>
      </c>
      <c r="J46" s="15" t="inlineStr">
        <is>
          <t>for i in range(100000): print(i)</t>
        </is>
      </c>
      <c r="K46" s="15" t="inlineStr">
        <is>
          <t>Output is truncated with a clear notice. The browser does not hang and the server does not fall over.</t>
        </is>
      </c>
      <c r="L46" s="15" t="inlineStr"/>
      <c r="M46" s="15" t="inlineStr"/>
      <c r="N46" s="15" t="inlineStr"/>
      <c r="O46" s="15" t="inlineStr"/>
      <c r="P46" s="15" t="inlineStr"/>
    </row>
    <row r="47" ht="78" customHeight="1">
      <c r="A47" s="14" t="inlineStr">
        <is>
          <t>TC-RES-001</t>
        </is>
      </c>
      <c r="B47" s="15" t="inlineStr">
        <is>
          <t>Student</t>
        </is>
      </c>
      <c r="C47" s="15" t="inlineStr">
        <is>
          <t>Resume Centre</t>
        </is>
      </c>
      <c r="D47" s="16" t="inlineStr">
        <is>
          <t>Positive</t>
        </is>
      </c>
      <c r="E47" s="17" t="inlineStr">
        <is>
          <t>P0</t>
        </is>
      </c>
      <c r="F47" s="18" t="inlineStr">
        <is>
          <t>Build and save a resume</t>
        </is>
      </c>
      <c r="G47" s="15" t="inlineStr">
        <is>
          <t>Paid member</t>
        </is>
      </c>
      <c r="H47" s="10" t="inlineStr">
        <is>
          <t>/careerpilot/resume</t>
        </is>
      </c>
      <c r="I47" s="15" t="inlineStr">
        <is>
          <t>1. Fill every section
2. Save
3. Reload</t>
        </is>
      </c>
      <c r="J47" s="15" t="inlineStr">
        <is>
          <t>Realistic fresher details</t>
        </is>
      </c>
      <c r="K47" s="15" t="inlineStr">
        <is>
          <t>All content persists exactly as entered.</t>
        </is>
      </c>
      <c r="L47" s="15" t="inlineStr"/>
      <c r="M47" s="15" t="inlineStr"/>
      <c r="N47" s="15" t="inlineStr"/>
      <c r="O47" s="15" t="inlineStr"/>
      <c r="P47" s="15" t="inlineStr"/>
    </row>
    <row r="48" ht="78" customHeight="1">
      <c r="A48" s="14" t="inlineStr">
        <is>
          <t>TC-RES-002</t>
        </is>
      </c>
      <c r="B48" s="15" t="inlineStr">
        <is>
          <t>Student</t>
        </is>
      </c>
      <c r="C48" s="15" t="inlineStr">
        <is>
          <t>Resume Centre</t>
        </is>
      </c>
      <c r="D48" s="16" t="inlineStr">
        <is>
          <t>Positive</t>
        </is>
      </c>
      <c r="E48" s="19" t="inlineStr">
        <is>
          <t>P1</t>
        </is>
      </c>
      <c r="F48" s="18" t="inlineStr">
        <is>
          <t>AI improve and AI score</t>
        </is>
      </c>
      <c r="G48" s="15" t="inlineStr">
        <is>
          <t>Resume saved</t>
        </is>
      </c>
      <c r="H48" s="10" t="inlineStr">
        <is>
          <t>/careerpilot/resume</t>
        </is>
      </c>
      <c r="I48" s="15" t="inlineStr">
        <is>
          <t>1. Tap Improve
2. Review suggestions
3. Apply one
4. Tap Score</t>
        </is>
      </c>
      <c r="J48" s="15" t="inlineStr">
        <is>
          <t>-</t>
        </is>
      </c>
      <c r="K48" s="15" t="inlineStr">
        <is>
          <t>Suggestions are specific to the content. Applying one edits only that field. A score with reasoning is returned.</t>
        </is>
      </c>
      <c r="L48" s="15" t="inlineStr"/>
      <c r="M48" s="15" t="inlineStr"/>
      <c r="N48" s="15" t="inlineStr"/>
      <c r="O48" s="15" t="inlineStr"/>
      <c r="P48" s="15" t="inlineStr"/>
    </row>
    <row r="49" ht="78" customHeight="1">
      <c r="A49" s="14" t="inlineStr">
        <is>
          <t>TC-RES-003</t>
        </is>
      </c>
      <c r="B49" s="15" t="inlineStr">
        <is>
          <t>Student</t>
        </is>
      </c>
      <c r="C49" s="15" t="inlineStr">
        <is>
          <t>Resume Centre</t>
        </is>
      </c>
      <c r="D49" s="16" t="inlineStr">
        <is>
          <t>Positive</t>
        </is>
      </c>
      <c r="E49" s="20" t="inlineStr">
        <is>
          <t>P2</t>
        </is>
      </c>
      <c r="F49" s="18" t="inlineStr">
        <is>
          <t>Import an existing resume</t>
        </is>
      </c>
      <c r="G49" s="15" t="inlineStr">
        <is>
          <t>Paid member, PDF/DOCX to hand</t>
        </is>
      </c>
      <c r="H49" s="10" t="inlineStr">
        <is>
          <t>/careerpilot/resume</t>
        </is>
      </c>
      <c r="I49" s="15" t="inlineStr">
        <is>
          <t>1. Import the file
2. Check the parsed fields</t>
        </is>
      </c>
      <c r="J49" s="15" t="inlineStr">
        <is>
          <t>A real one-page resume</t>
        </is>
      </c>
      <c r="K49" s="15" t="inlineStr">
        <is>
          <t>Fields are populated sensibly and anything unparsed is left blank rather than filled with rubbish.</t>
        </is>
      </c>
      <c r="L49" s="15" t="inlineStr"/>
      <c r="M49" s="15" t="inlineStr"/>
      <c r="N49" s="15" t="inlineStr"/>
      <c r="O49" s="15" t="inlineStr"/>
      <c r="P49" s="15" t="inlineStr"/>
    </row>
    <row r="50" ht="78" customHeight="1">
      <c r="A50" s="14" t="inlineStr">
        <is>
          <t>TC-RES-004</t>
        </is>
      </c>
      <c r="B50" s="15" t="inlineStr">
        <is>
          <t>Student</t>
        </is>
      </c>
      <c r="C50" s="15" t="inlineStr">
        <is>
          <t>Resume Centre</t>
        </is>
      </c>
      <c r="D50" s="21" t="inlineStr">
        <is>
          <t>Negative</t>
        </is>
      </c>
      <c r="E50" s="19" t="inlineStr">
        <is>
          <t>P1</t>
        </is>
      </c>
      <c r="F50" s="18" t="inlineStr">
        <is>
          <t>Import an unsupported file</t>
        </is>
      </c>
      <c r="G50" s="15" t="inlineStr">
        <is>
          <t>Paid member</t>
        </is>
      </c>
      <c r="H50" s="10" t="inlineStr">
        <is>
          <t>/careerpilot/resume</t>
        </is>
      </c>
      <c r="I50" s="15" t="inlineStr">
        <is>
          <t>1. Import a .exe or a 50 MB file</t>
        </is>
      </c>
      <c r="J50" s="15" t="inlineStr">
        <is>
          <t>-</t>
        </is>
      </c>
      <c r="K50" s="15" t="inlineStr">
        <is>
          <t>Refused with a message naming accepted formats and the size limit. No server error.</t>
        </is>
      </c>
      <c r="L50" s="15" t="inlineStr"/>
      <c r="M50" s="15" t="inlineStr"/>
      <c r="N50" s="15" t="inlineStr"/>
      <c r="O50" s="15" t="inlineStr"/>
      <c r="P50" s="15" t="inlineStr"/>
    </row>
    <row r="51" ht="78" customHeight="1">
      <c r="A51" s="14" t="inlineStr">
        <is>
          <t>TC-RES-005</t>
        </is>
      </c>
      <c r="B51" s="15" t="inlineStr">
        <is>
          <t>Student</t>
        </is>
      </c>
      <c r="C51" s="15" t="inlineStr">
        <is>
          <t>Resume Centre</t>
        </is>
      </c>
      <c r="D51" s="22" t="inlineStr">
        <is>
          <t>Corner</t>
        </is>
      </c>
      <c r="E51" s="17" t="inlineStr">
        <is>
          <t>P0</t>
        </is>
      </c>
      <c r="F51" s="18" t="inlineStr">
        <is>
          <t>Typing a comma in a list field</t>
        </is>
      </c>
      <c r="G51" s="15" t="inlineStr">
        <is>
          <t>Paid member</t>
        </is>
      </c>
      <c r="H51" s="10" t="inlineStr">
        <is>
          <t>/careerpilot/resume</t>
        </is>
      </c>
      <c r="I51" s="15" t="inlineStr">
        <is>
          <t>1. In Skills, type 'Java, Python, SQL' slowly, character by character</t>
        </is>
      </c>
      <c r="J51" s="15" t="inlineStr">
        <is>
          <t>Java, Python, SQL</t>
        </is>
      </c>
      <c r="K51" s="15" t="inlineStr">
        <is>
          <t>The comma stays as typed and the list forms correctly. KNOWN PAST DEFECT: the comma was deleted as it was typed. Test this deliberately.</t>
        </is>
      </c>
      <c r="L51" s="15" t="inlineStr"/>
      <c r="M51" s="15" t="inlineStr"/>
      <c r="N51" s="15" t="inlineStr"/>
      <c r="O51" s="15" t="inlineStr"/>
      <c r="P51" s="15" t="inlineStr"/>
    </row>
    <row r="52" ht="78" customHeight="1">
      <c r="A52" s="14" t="inlineStr">
        <is>
          <t>TC-RES-006</t>
        </is>
      </c>
      <c r="B52" s="15" t="inlineStr">
        <is>
          <t>Student</t>
        </is>
      </c>
      <c r="C52" s="15" t="inlineStr">
        <is>
          <t>Resume Centre</t>
        </is>
      </c>
      <c r="D52" s="22" t="inlineStr">
        <is>
          <t>Corner</t>
        </is>
      </c>
      <c r="E52" s="20" t="inlineStr">
        <is>
          <t>P2</t>
        </is>
      </c>
      <c r="F52" s="18" t="inlineStr">
        <is>
          <t>Very long single field</t>
        </is>
      </c>
      <c r="G52" s="15" t="inlineStr">
        <is>
          <t>Paid member</t>
        </is>
      </c>
      <c r="H52" s="10" t="inlineStr">
        <is>
          <t>/careerpilot/resume</t>
        </is>
      </c>
      <c r="I52" s="15" t="inlineStr">
        <is>
          <t>1. Paste 5,000 characters into a summary field
2. Save</t>
        </is>
      </c>
      <c r="J52" s="15" t="inlineStr">
        <is>
          <t>-</t>
        </is>
      </c>
      <c r="K52" s="15" t="inlineStr">
        <is>
          <t>Either accepted or capped with a visible limit. Never a silent truncation.</t>
        </is>
      </c>
      <c r="L52" s="15" t="inlineStr"/>
      <c r="M52" s="15" t="inlineStr"/>
      <c r="N52" s="15" t="inlineStr"/>
      <c r="O52" s="15" t="inlineStr"/>
      <c r="P52" s="15" t="inlineStr"/>
    </row>
    <row r="53" ht="78" customHeight="1">
      <c r="A53" s="14" t="inlineStr">
        <is>
          <t>TC-INT-001</t>
        </is>
      </c>
      <c r="B53" s="15" t="inlineStr">
        <is>
          <t>Student</t>
        </is>
      </c>
      <c r="C53" s="15" t="inlineStr">
        <is>
          <t>AI Mock Interview</t>
        </is>
      </c>
      <c r="D53" s="16" t="inlineStr">
        <is>
          <t>Positive</t>
        </is>
      </c>
      <c r="E53" s="17" t="inlineStr">
        <is>
          <t>P0</t>
        </is>
      </c>
      <c r="F53" s="18" t="inlineStr">
        <is>
          <t>Complete a full mock interview</t>
        </is>
      </c>
      <c r="G53" s="15" t="inlineStr">
        <is>
          <t>Paid member, mic permission granted</t>
        </is>
      </c>
      <c r="H53" s="10" t="inlineStr">
        <is>
          <t>/careerpilot/interview</t>
        </is>
      </c>
      <c r="I53" s="15" t="inlineStr">
        <is>
          <t>1. Start an interview
2. Allow the microphone
3. Answer each question aloud
4. Finish</t>
        </is>
      </c>
      <c r="J53" s="15" t="inlineStr">
        <is>
          <t>Speak naturally for 30–60s per answer</t>
        </is>
      </c>
      <c r="K53" s="15" t="inlineStr">
        <is>
          <t>Questions are SHORT and asked in an Indian-accented voice. Answers are transcribed. Written feedback is produced at the end AND stored — reopen it later to confirm it persists.</t>
        </is>
      </c>
      <c r="L53" s="15" t="inlineStr"/>
      <c r="M53" s="15" t="inlineStr"/>
      <c r="N53" s="15" t="inlineStr"/>
      <c r="O53" s="15" t="inlineStr"/>
      <c r="P53" s="15" t="inlineStr"/>
    </row>
    <row r="54" ht="78" customHeight="1">
      <c r="A54" s="14" t="inlineStr">
        <is>
          <t>TC-INT-002</t>
        </is>
      </c>
      <c r="B54" s="15" t="inlineStr">
        <is>
          <t>Student</t>
        </is>
      </c>
      <c r="C54" s="15" t="inlineStr">
        <is>
          <t>AI Mock Interview</t>
        </is>
      </c>
      <c r="D54" s="16" t="inlineStr">
        <is>
          <t>Positive</t>
        </is>
      </c>
      <c r="E54" s="19" t="inlineStr">
        <is>
          <t>P1</t>
        </is>
      </c>
      <c r="F54" s="18" t="inlineStr">
        <is>
          <t>Review a past interview</t>
        </is>
      </c>
      <c r="G54" s="15" t="inlineStr">
        <is>
          <t>At least one interview finished</t>
        </is>
      </c>
      <c r="H54" s="10" t="inlineStr">
        <is>
          <t>/careerpilot/interview</t>
        </is>
      </c>
      <c r="I54" s="15" t="inlineStr">
        <is>
          <t>1. Open the history list
2. Open a previous session</t>
        </is>
      </c>
      <c r="J54" s="15" t="inlineStr">
        <is>
          <t>-</t>
        </is>
      </c>
      <c r="K54" s="15" t="inlineStr">
        <is>
          <t>The full transcript and feedback are readable. Stored feedback is the point of the feature.</t>
        </is>
      </c>
      <c r="L54" s="15" t="inlineStr"/>
      <c r="M54" s="15" t="inlineStr"/>
      <c r="N54" s="15" t="inlineStr"/>
      <c r="O54" s="15" t="inlineStr"/>
      <c r="P54" s="15" t="inlineStr"/>
    </row>
    <row r="55" ht="78" customHeight="1">
      <c r="A55" s="14" t="inlineStr">
        <is>
          <t>TC-INT-003</t>
        </is>
      </c>
      <c r="B55" s="15" t="inlineStr">
        <is>
          <t>Student</t>
        </is>
      </c>
      <c r="C55" s="15" t="inlineStr">
        <is>
          <t>AI Mock Interview</t>
        </is>
      </c>
      <c r="D55" s="16" t="inlineStr">
        <is>
          <t>Positive</t>
        </is>
      </c>
      <c r="E55" s="19" t="inlineStr">
        <is>
          <t>P1</t>
        </is>
      </c>
      <c r="F55" s="18" t="inlineStr">
        <is>
          <t>Company-primed interview</t>
        </is>
      </c>
      <c r="G55" s="15" t="inlineStr">
        <is>
          <t>A company is live</t>
        </is>
      </c>
      <c r="H55" s="10" t="inlineStr">
        <is>
          <t>/careerpilot/companies/:slug → Mock Interview</t>
        </is>
      </c>
      <c r="I55" s="15" t="inlineStr">
        <is>
          <t>1. Open a live company
2. Start its mock interview</t>
        </is>
      </c>
      <c r="J55" s="15" t="inlineStr">
        <is>
          <t>-</t>
        </is>
      </c>
      <c r="K55" s="15" t="inlineStr">
        <is>
          <t>Questions are recognisably about that company's process, not generic ones.</t>
        </is>
      </c>
      <c r="L55" s="15" t="inlineStr"/>
      <c r="M55" s="15" t="inlineStr"/>
      <c r="N55" s="15" t="inlineStr"/>
      <c r="O55" s="15" t="inlineStr"/>
      <c r="P55" s="15" t="inlineStr"/>
    </row>
    <row r="56" ht="78" customHeight="1">
      <c r="A56" s="14" t="inlineStr">
        <is>
          <t>TC-INT-004</t>
        </is>
      </c>
      <c r="B56" s="15" t="inlineStr">
        <is>
          <t>Student</t>
        </is>
      </c>
      <c r="C56" s="15" t="inlineStr">
        <is>
          <t>AI Mock Interview</t>
        </is>
      </c>
      <c r="D56" s="21" t="inlineStr">
        <is>
          <t>Negative</t>
        </is>
      </c>
      <c r="E56" s="17" t="inlineStr">
        <is>
          <t>P0</t>
        </is>
      </c>
      <c r="F56" s="18" t="inlineStr">
        <is>
          <t>Free member cannot start an interview</t>
        </is>
      </c>
      <c r="G56" s="15" t="inlineStr">
        <is>
          <t>Free member</t>
        </is>
      </c>
      <c r="H56" s="10" t="inlineStr">
        <is>
          <t>/careerpilot/interview</t>
        </is>
      </c>
      <c r="I56" s="15" t="inlineStr">
        <is>
          <t>1. Tap Start</t>
        </is>
      </c>
      <c r="J56" s="15" t="inlineStr">
        <is>
          <t>-</t>
        </is>
      </c>
      <c r="K56" s="15" t="inlineStr">
        <is>
          <t>Blocked with an upgrade prompt quoting the correct price. No AI call is made — this is a cost control, not just a UI state.</t>
        </is>
      </c>
      <c r="L56" s="15" t="inlineStr"/>
      <c r="M56" s="15" t="inlineStr"/>
      <c r="N56" s="15" t="inlineStr"/>
      <c r="O56" s="15" t="inlineStr"/>
      <c r="P56" s="15" t="inlineStr"/>
    </row>
    <row r="57" ht="78" customHeight="1">
      <c r="A57" s="14" t="inlineStr">
        <is>
          <t>TC-INT-005</t>
        </is>
      </c>
      <c r="B57" s="15" t="inlineStr">
        <is>
          <t>Student</t>
        </is>
      </c>
      <c r="C57" s="15" t="inlineStr">
        <is>
          <t>AI Mock Interview</t>
        </is>
      </c>
      <c r="D57" s="21" t="inlineStr">
        <is>
          <t>Negative</t>
        </is>
      </c>
      <c r="E57" s="19" t="inlineStr">
        <is>
          <t>P1</t>
        </is>
      </c>
      <c r="F57" s="18" t="inlineStr">
        <is>
          <t>Microphone permission denied</t>
        </is>
      </c>
      <c r="G57" s="15" t="inlineStr">
        <is>
          <t>Paid member</t>
        </is>
      </c>
      <c r="H57" s="10" t="inlineStr">
        <is>
          <t>/careerpilot/interview</t>
        </is>
      </c>
      <c r="I57" s="15" t="inlineStr">
        <is>
          <t>1. Deny the mic prompt
2. Try to start</t>
        </is>
      </c>
      <c r="J57" s="15" t="inlineStr">
        <is>
          <t>-</t>
        </is>
      </c>
      <c r="K57" s="15" t="inlineStr">
        <is>
          <t>A clear explanation of why the mic is needed and how to enable it. No blank screen.</t>
        </is>
      </c>
      <c r="L57" s="15" t="inlineStr"/>
      <c r="M57" s="15" t="inlineStr"/>
      <c r="N57" s="15" t="inlineStr"/>
      <c r="O57" s="15" t="inlineStr"/>
      <c r="P57" s="15" t="inlineStr"/>
    </row>
    <row r="58" ht="78" customHeight="1">
      <c r="A58" s="14" t="inlineStr">
        <is>
          <t>TC-INT-006</t>
        </is>
      </c>
      <c r="B58" s="15" t="inlineStr">
        <is>
          <t>Student</t>
        </is>
      </c>
      <c r="C58" s="15" t="inlineStr">
        <is>
          <t>AI Mock Interview</t>
        </is>
      </c>
      <c r="D58" s="22" t="inlineStr">
        <is>
          <t>Corner</t>
        </is>
      </c>
      <c r="E58" s="17" t="inlineStr">
        <is>
          <t>P0</t>
        </is>
      </c>
      <c r="F58" s="18" t="inlineStr">
        <is>
          <t>Interview quota is enforced</t>
        </is>
      </c>
      <c r="G58" s="15" t="inlineStr">
        <is>
          <t>Paid member with 12 interviews already used</t>
        </is>
      </c>
      <c r="H58" s="10" t="inlineStr">
        <is>
          <t>/careerpilot/interview</t>
        </is>
      </c>
      <c r="I58" s="15" t="inlineStr">
        <is>
          <t>1. Attempt a 13th interview</t>
        </is>
      </c>
      <c r="J58" s="15" t="inlineStr">
        <is>
          <t>-</t>
        </is>
      </c>
      <c r="K58" s="15" t="inlineStr">
        <is>
          <t>Should be refused — the plan is 12 per member per year. KNOWN GAP: no quota exists in the code today, so this test WILL FAIL. Raise it as a defect; it is an uncapped cost.</t>
        </is>
      </c>
      <c r="L58" s="15" t="inlineStr"/>
      <c r="M58" s="15" t="inlineStr"/>
      <c r="N58" s="15" t="inlineStr"/>
      <c r="O58" s="15" t="inlineStr"/>
      <c r="P58" s="15" t="inlineStr"/>
    </row>
    <row r="59" ht="78" customHeight="1">
      <c r="A59" s="14" t="inlineStr">
        <is>
          <t>TC-INT-007</t>
        </is>
      </c>
      <c r="B59" s="15" t="inlineStr">
        <is>
          <t>Student</t>
        </is>
      </c>
      <c r="C59" s="15" t="inlineStr">
        <is>
          <t>AI Mock Interview</t>
        </is>
      </c>
      <c r="D59" s="22" t="inlineStr">
        <is>
          <t>Corner</t>
        </is>
      </c>
      <c r="E59" s="19" t="inlineStr">
        <is>
          <t>P1</t>
        </is>
      </c>
      <c r="F59" s="18" t="inlineStr">
        <is>
          <t>Silence during an answer</t>
        </is>
      </c>
      <c r="G59" s="15" t="inlineStr">
        <is>
          <t>Paid member, interview running</t>
        </is>
      </c>
      <c r="H59" s="10" t="inlineStr">
        <is>
          <t>/careerpilot/interview</t>
        </is>
      </c>
      <c r="I59" s="15" t="inlineStr">
        <is>
          <t>1. Say nothing for 30 seconds</t>
        </is>
      </c>
      <c r="J59" s="15" t="inlineStr">
        <is>
          <t>-</t>
        </is>
      </c>
      <c r="K59" s="15" t="inlineStr">
        <is>
          <t>The interview moves on gracefully or prompts the member. It does not hang forever or crash.</t>
        </is>
      </c>
      <c r="L59" s="15" t="inlineStr"/>
      <c r="M59" s="15" t="inlineStr"/>
      <c r="N59" s="15" t="inlineStr"/>
      <c r="O59" s="15" t="inlineStr"/>
      <c r="P59" s="15" t="inlineStr"/>
    </row>
    <row r="60" ht="78" customHeight="1">
      <c r="A60" s="14" t="inlineStr">
        <is>
          <t>TC-INT-008</t>
        </is>
      </c>
      <c r="B60" s="15" t="inlineStr">
        <is>
          <t>Student</t>
        </is>
      </c>
      <c r="C60" s="15" t="inlineStr">
        <is>
          <t>AI Mock Interview</t>
        </is>
      </c>
      <c r="D60" s="22" t="inlineStr">
        <is>
          <t>Corner</t>
        </is>
      </c>
      <c r="E60" s="20" t="inlineStr">
        <is>
          <t>P2</t>
        </is>
      </c>
      <c r="F60" s="18" t="inlineStr">
        <is>
          <t>Network drops mid-interview</t>
        </is>
      </c>
      <c r="G60" s="15" t="inlineStr">
        <is>
          <t>Paid member, interview running</t>
        </is>
      </c>
      <c r="H60" s="10" t="inlineStr">
        <is>
          <t>/careerpilot/interview</t>
        </is>
      </c>
      <c r="I60" s="15" t="inlineStr">
        <is>
          <t>1. Disable wifi mid-answer
2. Re-enable after 20s</t>
        </is>
      </c>
      <c r="J60" s="15" t="inlineStr">
        <is>
          <t>-</t>
        </is>
      </c>
      <c r="K60" s="15" t="inlineStr">
        <is>
          <t>Either the session recovers or it ends with the transcript so far saved. Work already done must not vanish.</t>
        </is>
      </c>
      <c r="L60" s="15" t="inlineStr"/>
      <c r="M60" s="15" t="inlineStr"/>
      <c r="N60" s="15" t="inlineStr"/>
      <c r="O60" s="15" t="inlineStr"/>
      <c r="P60" s="15" t="inlineStr"/>
    </row>
    <row r="61" ht="78" customHeight="1">
      <c r="A61" s="14" t="inlineStr">
        <is>
          <t>TC-COMP-001</t>
        </is>
      </c>
      <c r="B61" s="15" t="inlineStr">
        <is>
          <t>Student</t>
        </is>
      </c>
      <c r="C61" s="15" t="inlineStr">
        <is>
          <t>Prepare Interviews — Company Hub</t>
        </is>
      </c>
      <c r="D61" s="16" t="inlineStr">
        <is>
          <t>Positive</t>
        </is>
      </c>
      <c r="E61" s="17" t="inlineStr">
        <is>
          <t>P0</t>
        </is>
      </c>
      <c r="F61" s="18" t="inlineStr">
        <is>
          <t>Browse live companies</t>
        </is>
      </c>
      <c r="G61" s="15" t="inlineStr">
        <is>
          <t>At least one company past the readiness bar</t>
        </is>
      </c>
      <c r="H61" s="10" t="inlineStr">
        <is>
          <t>/careerpilot/companies</t>
        </is>
      </c>
      <c r="I61" s="15" t="inlineStr">
        <is>
          <t>1. Open the company list</t>
        </is>
      </c>
      <c r="J61" s="15" t="inlineStr">
        <is>
          <t>-</t>
        </is>
      </c>
      <c r="K61" s="15" t="inlineStr">
        <is>
          <t>Only LIVE companies appear. Companies below the bar must be completely absent, not greyed out.</t>
        </is>
      </c>
      <c r="L61" s="15" t="inlineStr"/>
      <c r="M61" s="15" t="inlineStr"/>
      <c r="N61" s="15" t="inlineStr"/>
      <c r="O61" s="15" t="inlineStr"/>
      <c r="P61" s="15" t="inlineStr"/>
    </row>
    <row r="62" ht="78" customHeight="1">
      <c r="A62" s="14" t="inlineStr">
        <is>
          <t>TC-COMP-002</t>
        </is>
      </c>
      <c r="B62" s="15" t="inlineStr">
        <is>
          <t>Student</t>
        </is>
      </c>
      <c r="C62" s="15" t="inlineStr">
        <is>
          <t>Prepare Interviews — Company Hub</t>
        </is>
      </c>
      <c r="D62" s="16" t="inlineStr">
        <is>
          <t>Positive</t>
        </is>
      </c>
      <c r="E62" s="17" t="inlineStr">
        <is>
          <t>P0</t>
        </is>
      </c>
      <c r="F62" s="18" t="inlineStr">
        <is>
          <t>All six tabs on a live company</t>
        </is>
      </c>
      <c r="G62" s="15" t="inlineStr">
        <is>
          <t>A live company</t>
        </is>
      </c>
      <c r="H62" s="10" t="inlineStr">
        <is>
          <t>/careerpilot/companies/:slug</t>
        </is>
      </c>
      <c r="I62" s="15" t="inlineStr">
        <is>
          <t>1. Open each tab in turn: Overview, Interview Pattern, Salary, Mock Test, Mock Interview, Questions</t>
        </is>
      </c>
      <c r="J62" s="15" t="inlineStr">
        <is>
          <t>Use Cognizant once it is live</t>
        </is>
      </c>
      <c r="K62" s="15" t="inlineStr">
        <is>
          <t>Every tab renders real content. No tab is blank and no statistic is shown without its sample size.</t>
        </is>
      </c>
      <c r="L62" s="15" t="inlineStr"/>
      <c r="M62" s="15" t="inlineStr"/>
      <c r="N62" s="15" t="inlineStr"/>
      <c r="O62" s="15" t="inlineStr"/>
      <c r="P62" s="15" t="inlineStr"/>
    </row>
    <row r="63" ht="78" customHeight="1">
      <c r="A63" s="14" t="inlineStr">
        <is>
          <t>TC-COMP-003</t>
        </is>
      </c>
      <c r="B63" s="15" t="inlineStr">
        <is>
          <t>Student</t>
        </is>
      </c>
      <c r="C63" s="15" t="inlineStr">
        <is>
          <t>Prepare Interviews — Company Hub</t>
        </is>
      </c>
      <c r="D63" s="16" t="inlineStr">
        <is>
          <t>Positive</t>
        </is>
      </c>
      <c r="E63" s="19" t="inlineStr">
        <is>
          <t>P1</t>
        </is>
      </c>
      <c r="F63" s="18" t="inlineStr">
        <is>
          <t>Practise a company question</t>
        </is>
      </c>
      <c r="G63" s="15" t="inlineStr">
        <is>
          <t>A live company with questions</t>
        </is>
      </c>
      <c r="H63" s="10" t="inlineStr">
        <is>
          <t>/careerpilot/companies/:slug → Questions</t>
        </is>
      </c>
      <c r="I63" s="15" t="inlineStr">
        <is>
          <t>1. Open a coding question
2. Run it</t>
        </is>
      </c>
      <c r="J63" s="15" t="inlineStr">
        <is>
          <t>-</t>
        </is>
      </c>
      <c r="K63" s="15" t="inlineStr">
        <is>
          <t>It opens in the runnable practice view and executes.</t>
        </is>
      </c>
      <c r="L63" s="15" t="inlineStr"/>
      <c r="M63" s="15" t="inlineStr"/>
      <c r="N63" s="15" t="inlineStr"/>
      <c r="O63" s="15" t="inlineStr"/>
      <c r="P63" s="15" t="inlineStr"/>
    </row>
    <row r="64" ht="78" customHeight="1">
      <c r="A64" s="14" t="inlineStr">
        <is>
          <t>TC-COMP-004</t>
        </is>
      </c>
      <c r="B64" s="15" t="inlineStr">
        <is>
          <t>Student</t>
        </is>
      </c>
      <c r="C64" s="15" t="inlineStr">
        <is>
          <t>Prepare Interviews — Company Hub</t>
        </is>
      </c>
      <c r="D64" s="21" t="inlineStr">
        <is>
          <t>Negative</t>
        </is>
      </c>
      <c r="E64" s="17" t="inlineStr">
        <is>
          <t>P0</t>
        </is>
      </c>
      <c r="F64" s="18" t="inlineStr">
        <is>
          <t>An unready company 404s by direct URL</t>
        </is>
      </c>
      <c r="G64" s="15" t="inlineStr">
        <is>
          <t>A company below the bar</t>
        </is>
      </c>
      <c r="H64" s="10" t="inlineStr">
        <is>
          <t>/careerpilot/companies/&lt;unready-slug&gt;</t>
        </is>
      </c>
      <c r="I64" s="15" t="inlineStr">
        <is>
          <t>1. Paste the URL of an unready company directly</t>
        </is>
      </c>
      <c r="J64" s="15" t="inlineStr">
        <is>
          <t>e.g. /careerpilot/companies/kyndryl</t>
        </is>
      </c>
      <c r="K64" s="15" t="inlineStr">
        <is>
          <t>404 / not found. The readiness gate must hold on the direct URL, not only in the list.</t>
        </is>
      </c>
      <c r="L64" s="15" t="inlineStr"/>
      <c r="M64" s="15" t="inlineStr"/>
      <c r="N64" s="15" t="inlineStr"/>
      <c r="O64" s="15" t="inlineStr"/>
      <c r="P64" s="15" t="inlineStr"/>
    </row>
    <row r="65" ht="78" customHeight="1">
      <c r="A65" s="14" t="inlineStr">
        <is>
          <t>TC-COMP-005</t>
        </is>
      </c>
      <c r="B65" s="15" t="inlineStr">
        <is>
          <t>Student</t>
        </is>
      </c>
      <c r="C65" s="15" t="inlineStr">
        <is>
          <t>Prepare Interviews — Company Hub</t>
        </is>
      </c>
      <c r="D65" s="21" t="inlineStr">
        <is>
          <t>Negative</t>
        </is>
      </c>
      <c r="E65" s="17" t="inlineStr">
        <is>
          <t>P0</t>
        </is>
      </c>
      <c r="F65" s="18" t="inlineStr">
        <is>
          <t>Free member is blocked from the hub</t>
        </is>
      </c>
      <c r="G65" s="15" t="inlineStr">
        <is>
          <t>Free member</t>
        </is>
      </c>
      <c r="H65" s="10" t="inlineStr">
        <is>
          <t>/careerpilot/companies</t>
        </is>
      </c>
      <c r="I65" s="15" t="inlineStr">
        <is>
          <t>1. Open the company list</t>
        </is>
      </c>
      <c r="J65" s="15" t="inlineStr">
        <is>
          <t>-</t>
        </is>
      </c>
      <c r="K65" s="15" t="inlineStr">
        <is>
          <t>Upgrade prompt. NOTE: the entitlement key company_questions is missing from the production config — verify the lock state renders correctly and raise it if not.</t>
        </is>
      </c>
      <c r="L65" s="15" t="inlineStr"/>
      <c r="M65" s="15" t="inlineStr"/>
      <c r="N65" s="15" t="inlineStr"/>
      <c r="O65" s="15" t="inlineStr"/>
      <c r="P65" s="15" t="inlineStr"/>
    </row>
    <row r="66" ht="78" customHeight="1">
      <c r="A66" s="14" t="inlineStr">
        <is>
          <t>TC-COMP-006</t>
        </is>
      </c>
      <c r="B66" s="15" t="inlineStr">
        <is>
          <t>Student</t>
        </is>
      </c>
      <c r="C66" s="15" t="inlineStr">
        <is>
          <t>Prepare Interviews — Company Hub</t>
        </is>
      </c>
      <c r="D66" s="22" t="inlineStr">
        <is>
          <t>Corner</t>
        </is>
      </c>
      <c r="E66" s="17" t="inlineStr">
        <is>
          <t>P0</t>
        </is>
      </c>
      <c r="F66" s="18" t="inlineStr">
        <is>
          <t>A company crossing the bar goes live by itself</t>
        </is>
      </c>
      <c r="G66" s="15" t="inlineStr">
        <is>
          <t>A company at 19 published questions</t>
        </is>
      </c>
      <c r="H66" s="10" t="inlineStr">
        <is>
          <t>/admin/passport/companies</t>
        </is>
      </c>
      <c r="I66" s="15" t="inlineStr">
        <is>
          <t>1. As admin, publish a 20th question
2. As a student, refresh the company list</t>
        </is>
      </c>
      <c r="J66" s="15" t="inlineStr">
        <is>
          <t>-</t>
        </is>
      </c>
      <c r="K66" s="15" t="inlineStr">
        <is>
          <t>The company appears with no publish action taken. Readiness is computed, never stored.</t>
        </is>
      </c>
      <c r="L66" s="15" t="inlineStr"/>
      <c r="M66" s="15" t="inlineStr"/>
      <c r="N66" s="15" t="inlineStr"/>
      <c r="O66" s="15" t="inlineStr"/>
      <c r="P66" s="15" t="inlineStr"/>
    </row>
    <row r="67" ht="78" customHeight="1">
      <c r="A67" s="14" t="inlineStr">
        <is>
          <t>TC-COMP-007</t>
        </is>
      </c>
      <c r="B67" s="15" t="inlineStr">
        <is>
          <t>Student</t>
        </is>
      </c>
      <c r="C67" s="15" t="inlineStr">
        <is>
          <t>Prepare Interviews — Company Hub</t>
        </is>
      </c>
      <c r="D67" s="22" t="inlineStr">
        <is>
          <t>Corner</t>
        </is>
      </c>
      <c r="E67" s="19" t="inlineStr">
        <is>
          <t>P1</t>
        </is>
      </c>
      <c r="F67" s="18" t="inlineStr">
        <is>
          <t>A company falling back below the bar</t>
        </is>
      </c>
      <c r="G67" s="15" t="inlineStr">
        <is>
          <t>A live company</t>
        </is>
      </c>
      <c r="H67" s="10" t="inlineStr">
        <is>
          <t>/admin/passport/companies</t>
        </is>
      </c>
      <c r="I67" s="15" t="inlineStr">
        <is>
          <t>1. Unpublish questions until fewer than 20 remain
2. Refresh as a student</t>
        </is>
      </c>
      <c r="J67" s="15" t="inlineStr">
        <is>
          <t>-</t>
        </is>
      </c>
      <c r="K67" s="15" t="inlineStr">
        <is>
          <t>The company disappears from the list and its URL 404s again. The gate works in both directions.</t>
        </is>
      </c>
      <c r="L67" s="15" t="inlineStr"/>
      <c r="M67" s="15" t="inlineStr"/>
      <c r="N67" s="15" t="inlineStr"/>
      <c r="O67" s="15" t="inlineStr"/>
      <c r="P67" s="15" t="inlineStr"/>
    </row>
    <row r="68" ht="78" customHeight="1">
      <c r="A68" s="14" t="inlineStr">
        <is>
          <t>TC-COMP-008</t>
        </is>
      </c>
      <c r="B68" s="15" t="inlineStr">
        <is>
          <t>Student</t>
        </is>
      </c>
      <c r="C68" s="15" t="inlineStr">
        <is>
          <t>Prepare Interviews — Company Hub</t>
        </is>
      </c>
      <c r="D68" s="22" t="inlineStr">
        <is>
          <t>Corner</t>
        </is>
      </c>
      <c r="E68" s="20" t="inlineStr">
        <is>
          <t>P2</t>
        </is>
      </c>
      <c r="F68" s="18" t="inlineStr">
        <is>
          <t>Company names carry no list numbering</t>
        </is>
      </c>
      <c r="G68" s="15" t="inlineStr">
        <is>
          <t>-</t>
        </is>
      </c>
      <c r="H68" s="10" t="inlineStr">
        <is>
          <t>/careerpilot/companies</t>
        </is>
      </c>
      <c r="I68" s="15" t="inlineStr">
        <is>
          <t>1. Read every company name and URL</t>
        </is>
      </c>
      <c r="J68" s="15" t="inlineStr">
        <is>
          <t>-</t>
        </is>
      </c>
      <c r="K68" s="15" t="inlineStr">
        <is>
          <t>Names read 'Virtusa', not '17. Virtusa'; URLs read /virtusa, not /17-virtusa. KNOWN PAST DEFECT from a pasted numbered list — fixed, but re-check after any bulk import.</t>
        </is>
      </c>
      <c r="L68" s="15" t="inlineStr"/>
      <c r="M68" s="15" t="inlineStr"/>
      <c r="N68" s="15" t="inlineStr"/>
      <c r="O68" s="15" t="inlineStr"/>
      <c r="P68" s="15" t="inlineStr"/>
    </row>
    <row r="69" ht="78" customHeight="1">
      <c r="A69" s="14" t="inlineStr">
        <is>
          <t>TC-TEST-001</t>
        </is>
      </c>
      <c r="B69" s="15" t="inlineStr">
        <is>
          <t>Student</t>
        </is>
      </c>
      <c r="C69" s="15" t="inlineStr">
        <is>
          <t>Company Mock Test</t>
        </is>
      </c>
      <c r="D69" s="16" t="inlineStr">
        <is>
          <t>Positive</t>
        </is>
      </c>
      <c r="E69" s="17" t="inlineStr">
        <is>
          <t>P0</t>
        </is>
      </c>
      <c r="F69" s="18" t="inlineStr">
        <is>
          <t>Sit and submit a mock test</t>
        </is>
      </c>
      <c r="G69" s="15" t="inlineStr">
        <is>
          <t>Live company with 20+ questions</t>
        </is>
      </c>
      <c r="H69" s="10" t="inlineStr">
        <is>
          <t>/careerpilot/companies/:slug → Mock Test</t>
        </is>
      </c>
      <c r="I69" s="15" t="inlineStr">
        <is>
          <t>1. Start the test
2. Answer every question
3. Submit</t>
        </is>
      </c>
      <c r="J69" s="15" t="inlineStr">
        <is>
          <t>-</t>
        </is>
      </c>
      <c r="K69" s="15" t="inlineStr">
        <is>
          <t>A score, a pass/fail against the pass mark, and a full review with correct answers and explanations. Questions written for practice are labelled as such.</t>
        </is>
      </c>
      <c r="L69" s="15" t="inlineStr"/>
      <c r="M69" s="15" t="inlineStr"/>
      <c r="N69" s="15" t="inlineStr"/>
      <c r="O69" s="15" t="inlineStr"/>
      <c r="P69" s="15" t="inlineStr"/>
    </row>
    <row r="70" ht="78" customHeight="1">
      <c r="A70" s="14" t="inlineStr">
        <is>
          <t>TC-TEST-002</t>
        </is>
      </c>
      <c r="B70" s="15" t="inlineStr">
        <is>
          <t>Student</t>
        </is>
      </c>
      <c r="C70" s="15" t="inlineStr">
        <is>
          <t>Company Mock Test</t>
        </is>
      </c>
      <c r="D70" s="16" t="inlineStr">
        <is>
          <t>Positive</t>
        </is>
      </c>
      <c r="E70" s="17" t="inlineStr">
        <is>
          <t>P0</t>
        </is>
      </c>
      <c r="F70" s="18" t="inlineStr">
        <is>
          <t>Answers survive a refresh</t>
        </is>
      </c>
      <c r="G70" s="15" t="inlineStr">
        <is>
          <t>Test in progress</t>
        </is>
      </c>
      <c r="H70" s="10" t="inlineStr">
        <is>
          <t>/careerpilot/mock-test/:id</t>
        </is>
      </c>
      <c r="I70" s="15" t="inlineStr">
        <is>
          <t>1. Answer five questions
2. Refresh the browser
3. Check those five</t>
        </is>
      </c>
      <c r="J70" s="15" t="inlineStr">
        <is>
          <t>-</t>
        </is>
      </c>
      <c r="K70" s="15" t="inlineStr">
        <is>
          <t>All five answers are still selected and the clock continues from the correct remaining time — it does not restart.</t>
        </is>
      </c>
      <c r="L70" s="15" t="inlineStr"/>
      <c r="M70" s="15" t="inlineStr"/>
      <c r="N70" s="15" t="inlineStr"/>
      <c r="O70" s="15" t="inlineStr"/>
      <c r="P70" s="15" t="inlineStr"/>
    </row>
    <row r="71" ht="78" customHeight="1">
      <c r="A71" s="14" t="inlineStr">
        <is>
          <t>TC-TEST-003</t>
        </is>
      </c>
      <c r="B71" s="15" t="inlineStr">
        <is>
          <t>Student</t>
        </is>
      </c>
      <c r="C71" s="15" t="inlineStr">
        <is>
          <t>Company Mock Test</t>
        </is>
      </c>
      <c r="D71" s="16" t="inlineStr">
        <is>
          <t>Positive</t>
        </is>
      </c>
      <c r="E71" s="19" t="inlineStr">
        <is>
          <t>P1</t>
        </is>
      </c>
      <c r="F71" s="18" t="inlineStr">
        <is>
          <t>Resume rather than restart</t>
        </is>
      </c>
      <c r="G71" s="15" t="inlineStr">
        <is>
          <t>Test in progress</t>
        </is>
      </c>
      <c r="H71" s="10" t="inlineStr">
        <is>
          <t>Leave and return</t>
        </is>
      </c>
      <c r="I71" s="15" t="inlineStr">
        <is>
          <t>1. Start a test
2. Navigate away
3. Reopen the company and tap Mock Test</t>
        </is>
      </c>
      <c r="J71" s="15" t="inlineStr">
        <is>
          <t>-</t>
        </is>
      </c>
      <c r="K71" s="15" t="inlineStr">
        <is>
          <t>The SAME attempt resumes. A second paper is not created and no attempt is consumed.</t>
        </is>
      </c>
      <c r="L71" s="15" t="inlineStr"/>
      <c r="M71" s="15" t="inlineStr"/>
      <c r="N71" s="15" t="inlineStr"/>
      <c r="O71" s="15" t="inlineStr"/>
      <c r="P71" s="15" t="inlineStr"/>
    </row>
    <row r="72" ht="78" customHeight="1">
      <c r="A72" s="14" t="inlineStr">
        <is>
          <t>TC-TEST-004</t>
        </is>
      </c>
      <c r="B72" s="15" t="inlineStr">
        <is>
          <t>Student</t>
        </is>
      </c>
      <c r="C72" s="15" t="inlineStr">
        <is>
          <t>Company Mock Test</t>
        </is>
      </c>
      <c r="D72" s="21" t="inlineStr">
        <is>
          <t>Negative</t>
        </is>
      </c>
      <c r="E72" s="17" t="inlineStr">
        <is>
          <t>P0</t>
        </is>
      </c>
      <c r="F72" s="18" t="inlineStr">
        <is>
          <t>The clock cannot be cheated</t>
        </is>
      </c>
      <c r="G72" s="15" t="inlineStr">
        <is>
          <t>Test in progress</t>
        </is>
      </c>
      <c r="H72" s="10" t="inlineStr">
        <is>
          <t>/careerpilot/mock-test/:id</t>
        </is>
      </c>
      <c r="I72" s="15" t="inlineStr">
        <is>
          <t>1. Change the computer's system clock backwards
2. Continue the test</t>
        </is>
      </c>
      <c r="J72" s="15" t="inlineStr">
        <is>
          <t>-</t>
        </is>
      </c>
      <c r="K72" s="15" t="inlineStr">
        <is>
          <t>The remaining time is unaffected — the deadline is held server-side. The test still auto-submits at the true zero.</t>
        </is>
      </c>
      <c r="L72" s="15" t="inlineStr"/>
      <c r="M72" s="15" t="inlineStr"/>
      <c r="N72" s="15" t="inlineStr"/>
      <c r="O72" s="15" t="inlineStr"/>
      <c r="P72" s="15" t="inlineStr"/>
    </row>
    <row r="73" ht="78" customHeight="1">
      <c r="A73" s="14" t="inlineStr">
        <is>
          <t>TC-TEST-005</t>
        </is>
      </c>
      <c r="B73" s="15" t="inlineStr">
        <is>
          <t>Student</t>
        </is>
      </c>
      <c r="C73" s="15" t="inlineStr">
        <is>
          <t>Company Mock Test</t>
        </is>
      </c>
      <c r="D73" s="21" t="inlineStr">
        <is>
          <t>Negative</t>
        </is>
      </c>
      <c r="E73" s="17" t="inlineStr">
        <is>
          <t>P0</t>
        </is>
      </c>
      <c r="F73" s="18" t="inlineStr">
        <is>
          <t>Answer key is not in the page source</t>
        </is>
      </c>
      <c r="G73" s="15" t="inlineStr">
        <is>
          <t>Test in progress</t>
        </is>
      </c>
      <c r="H73" s="10" t="inlineStr">
        <is>
          <t>/careerpilot/mock-test/:id</t>
        </is>
      </c>
      <c r="I73" s="15" t="inlineStr">
        <is>
          <t>1. Open dev tools
2. Inspect the network response and page source for the correct answers</t>
        </is>
      </c>
      <c r="J73" s="15" t="inlineStr">
        <is>
          <t>-</t>
        </is>
      </c>
      <c r="K73" s="15" t="inlineStr">
        <is>
          <t>correctIndex and explanations are ABSENT while the test is running. They appear only after submission.</t>
        </is>
      </c>
      <c r="L73" s="15" t="inlineStr"/>
      <c r="M73" s="15" t="inlineStr"/>
      <c r="N73" s="15" t="inlineStr"/>
      <c r="O73" s="15" t="inlineStr"/>
      <c r="P73" s="15" t="inlineStr"/>
    </row>
    <row r="74" ht="78" customHeight="1">
      <c r="A74" s="14" t="inlineStr">
        <is>
          <t>TC-TEST-006</t>
        </is>
      </c>
      <c r="B74" s="15" t="inlineStr">
        <is>
          <t>Student</t>
        </is>
      </c>
      <c r="C74" s="15" t="inlineStr">
        <is>
          <t>Company Mock Test</t>
        </is>
      </c>
      <c r="D74" s="21" t="inlineStr">
        <is>
          <t>Negative</t>
        </is>
      </c>
      <c r="E74" s="19" t="inlineStr">
        <is>
          <t>P1</t>
        </is>
      </c>
      <c r="F74" s="18" t="inlineStr">
        <is>
          <t>Attempt limit is enforced</t>
        </is>
      </c>
      <c r="G74" s="15" t="inlineStr">
        <is>
          <t>Member who has used all attempts</t>
        </is>
      </c>
      <c r="H74" s="10" t="inlineStr">
        <is>
          <t>/careerpilot/companies/:slug</t>
        </is>
      </c>
      <c r="I74" s="15" t="inlineStr">
        <is>
          <t>1. Try to start another test</t>
        </is>
      </c>
      <c r="J74" s="15" t="inlineStr">
        <is>
          <t>-</t>
        </is>
      </c>
      <c r="K74" s="15" t="inlineStr">
        <is>
          <t>Refused with a message naming the attempt limit.</t>
        </is>
      </c>
      <c r="L74" s="15" t="inlineStr"/>
      <c r="M74" s="15" t="inlineStr"/>
      <c r="N74" s="15" t="inlineStr"/>
      <c r="O74" s="15" t="inlineStr"/>
      <c r="P74" s="15" t="inlineStr"/>
    </row>
    <row r="75" ht="78" customHeight="1">
      <c r="A75" s="14" t="inlineStr">
        <is>
          <t>TC-TEST-007</t>
        </is>
      </c>
      <c r="B75" s="15" t="inlineStr">
        <is>
          <t>Student</t>
        </is>
      </c>
      <c r="C75" s="15" t="inlineStr">
        <is>
          <t>Company Mock Test</t>
        </is>
      </c>
      <c r="D75" s="22" t="inlineStr">
        <is>
          <t>Corner</t>
        </is>
      </c>
      <c r="E75" s="17" t="inlineStr">
        <is>
          <t>P0</t>
        </is>
      </c>
      <c r="F75" s="18" t="inlineStr">
        <is>
          <t>Time runs out</t>
        </is>
      </c>
      <c r="G75" s="15" t="inlineStr">
        <is>
          <t>Test in progress with under a minute left</t>
        </is>
      </c>
      <c r="H75" s="10" t="inlineStr">
        <is>
          <t>/careerpilot/mock-test/:id</t>
        </is>
      </c>
      <c r="I75" s="15" t="inlineStr">
        <is>
          <t>1. Let the clock reach zero without submitting</t>
        </is>
      </c>
      <c r="J75" s="15" t="inlineStr">
        <is>
          <t>-</t>
        </is>
      </c>
      <c r="K75" s="15" t="inlineStr">
        <is>
          <t>The test SUBMITS automatically — it must not merely stop. The member is told it was auto-submitted and the answers given are all marked.</t>
        </is>
      </c>
      <c r="L75" s="15" t="inlineStr"/>
      <c r="M75" s="15" t="inlineStr"/>
      <c r="N75" s="15" t="inlineStr"/>
      <c r="O75" s="15" t="inlineStr"/>
      <c r="P75" s="15" t="inlineStr"/>
    </row>
    <row r="76" ht="78" customHeight="1">
      <c r="A76" s="14" t="inlineStr">
        <is>
          <t>TC-TEST-008</t>
        </is>
      </c>
      <c r="B76" s="15" t="inlineStr">
        <is>
          <t>Student</t>
        </is>
      </c>
      <c r="C76" s="15" t="inlineStr">
        <is>
          <t>Company Mock Test</t>
        </is>
      </c>
      <c r="D76" s="22" t="inlineStr">
        <is>
          <t>Corner</t>
        </is>
      </c>
      <c r="E76" s="19" t="inlineStr">
        <is>
          <t>P1</t>
        </is>
      </c>
      <c r="F76" s="18" t="inlineStr">
        <is>
          <t>Submitting with blanks</t>
        </is>
      </c>
      <c r="G76" s="15" t="inlineStr">
        <is>
          <t>Test in progress</t>
        </is>
      </c>
      <c r="H76" s="10" t="inlineStr">
        <is>
          <t>/careerpilot/mock-test/:id</t>
        </is>
      </c>
      <c r="I76" s="15" t="inlineStr">
        <is>
          <t>1. Leave several blank
2. Tap Submit</t>
        </is>
      </c>
      <c r="J76" s="15" t="inlineStr">
        <is>
          <t>-</t>
        </is>
      </c>
      <c r="K76" s="15" t="inlineStr">
        <is>
          <t>A confirmation names how many are blank. On confirming, blanks are marked wrong and shown as 'left blank' in the review.</t>
        </is>
      </c>
      <c r="L76" s="15" t="inlineStr"/>
      <c r="M76" s="15" t="inlineStr"/>
      <c r="N76" s="15" t="inlineStr"/>
      <c r="O76" s="15" t="inlineStr"/>
      <c r="P76" s="15" t="inlineStr"/>
    </row>
    <row r="77" ht="78" customHeight="1">
      <c r="A77" s="14" t="inlineStr">
        <is>
          <t>TC-TEST-009</t>
        </is>
      </c>
      <c r="B77" s="15" t="inlineStr">
        <is>
          <t>Student</t>
        </is>
      </c>
      <c r="C77" s="15" t="inlineStr">
        <is>
          <t>Company Mock Test</t>
        </is>
      </c>
      <c r="D77" s="22" t="inlineStr">
        <is>
          <t>Corner</t>
        </is>
      </c>
      <c r="E77" s="20" t="inlineStr">
        <is>
          <t>P2</t>
        </is>
      </c>
      <c r="F77" s="18" t="inlineStr">
        <is>
          <t>Not enough banked questions</t>
        </is>
      </c>
      <c r="G77" s="15" t="inlineStr">
        <is>
          <t>A company with very few questions</t>
        </is>
      </c>
      <c r="H77" s="10" t="inlineStr">
        <is>
          <t>/careerpilot/companies/:slug</t>
        </is>
      </c>
      <c r="I77" s="15" t="inlineStr">
        <is>
          <t>1. Start a mock test</t>
        </is>
      </c>
      <c r="J77" s="15" t="inlineStr">
        <is>
          <t>-</t>
        </is>
      </c>
      <c r="K77" s="15" t="inlineStr">
        <is>
          <t>Either the paper is topped up with clearly-labelled generated questions, or a readable message explains there are not enough yet. Never a partial or broken paper.</t>
        </is>
      </c>
      <c r="L77" s="15" t="inlineStr"/>
      <c r="M77" s="15" t="inlineStr"/>
      <c r="N77" s="15" t="inlineStr"/>
      <c r="O77" s="15" t="inlineStr"/>
      <c r="P77" s="15" t="inlineStr"/>
    </row>
    <row r="78" ht="78" customHeight="1">
      <c r="A78" s="14" t="inlineStr">
        <is>
          <t>TC-NEWS-001</t>
        </is>
      </c>
      <c r="B78" s="15" t="inlineStr">
        <is>
          <t>Student</t>
        </is>
      </c>
      <c r="C78" s="15" t="inlineStr">
        <is>
          <t>Tech News</t>
        </is>
      </c>
      <c r="D78" s="16" t="inlineStr">
        <is>
          <t>Positive</t>
        </is>
      </c>
      <c r="E78" s="19" t="inlineStr">
        <is>
          <t>P1</t>
        </is>
      </c>
      <c r="F78" s="18" t="inlineStr">
        <is>
          <t>Read the news feed</t>
        </is>
      </c>
      <c r="G78" s="15" t="inlineStr">
        <is>
          <t>Paid member, items published</t>
        </is>
      </c>
      <c r="H78" s="10" t="inlineStr">
        <is>
          <t>/careerpilot/news</t>
        </is>
      </c>
      <c r="I78" s="15" t="inlineStr">
        <is>
          <t>1. Open the feed
2. Open an item</t>
        </is>
      </c>
      <c r="J78" s="15" t="inlineStr">
        <is>
          <t>-</t>
        </is>
      </c>
      <c r="K78" s="15" t="inlineStr">
        <is>
          <t>Items are listed newest first and open with readable content and a working source link.</t>
        </is>
      </c>
      <c r="L78" s="15" t="inlineStr"/>
      <c r="M78" s="15" t="inlineStr"/>
      <c r="N78" s="15" t="inlineStr"/>
      <c r="O78" s="15" t="inlineStr"/>
      <c r="P78" s="15" t="inlineStr"/>
    </row>
    <row r="79" ht="78" customHeight="1">
      <c r="A79" s="14" t="inlineStr">
        <is>
          <t>TC-NEWS-002</t>
        </is>
      </c>
      <c r="B79" s="15" t="inlineStr">
        <is>
          <t>Student</t>
        </is>
      </c>
      <c r="C79" s="15" t="inlineStr">
        <is>
          <t>Tech News</t>
        </is>
      </c>
      <c r="D79" s="21" t="inlineStr">
        <is>
          <t>Negative</t>
        </is>
      </c>
      <c r="E79" s="19" t="inlineStr">
        <is>
          <t>P1</t>
        </is>
      </c>
      <c r="F79" s="18" t="inlineStr">
        <is>
          <t>Free member is blocked</t>
        </is>
      </c>
      <c r="G79" s="15" t="inlineStr">
        <is>
          <t>Free member</t>
        </is>
      </c>
      <c r="H79" s="10" t="inlineStr">
        <is>
          <t>/careerpilot/news</t>
        </is>
      </c>
      <c r="I79" s="15" t="inlineStr">
        <is>
          <t>1. Open the feed</t>
        </is>
      </c>
      <c r="J79" s="15" t="inlineStr">
        <is>
          <t>-</t>
        </is>
      </c>
      <c r="K79" s="15" t="inlineStr">
        <is>
          <t>Upgrade prompt rather than an error.</t>
        </is>
      </c>
      <c r="L79" s="15" t="inlineStr"/>
      <c r="M79" s="15" t="inlineStr"/>
      <c r="N79" s="15" t="inlineStr"/>
      <c r="O79" s="15" t="inlineStr"/>
      <c r="P79" s="15" t="inlineStr"/>
    </row>
    <row r="80" ht="78" customHeight="1">
      <c r="A80" s="14" t="inlineStr">
        <is>
          <t>TC-NEWS-003</t>
        </is>
      </c>
      <c r="B80" s="15" t="inlineStr">
        <is>
          <t>Student</t>
        </is>
      </c>
      <c r="C80" s="15" t="inlineStr">
        <is>
          <t>Tech News</t>
        </is>
      </c>
      <c r="D80" s="22" t="inlineStr">
        <is>
          <t>Corner</t>
        </is>
      </c>
      <c r="E80" s="20" t="inlineStr">
        <is>
          <t>P2</t>
        </is>
      </c>
      <c r="F80" s="18" t="inlineStr">
        <is>
          <t>Empty feed</t>
        </is>
      </c>
      <c r="G80" s="15" t="inlineStr">
        <is>
          <t>No published items</t>
        </is>
      </c>
      <c r="H80" s="10" t="inlineStr">
        <is>
          <t>/careerpilot/news</t>
        </is>
      </c>
      <c r="I80" s="15" t="inlineStr">
        <is>
          <t>1. Open the feed</t>
        </is>
      </c>
      <c r="J80" s="15" t="inlineStr">
        <is>
          <t>-</t>
        </is>
      </c>
      <c r="K80" s="15" t="inlineStr">
        <is>
          <t>A friendly empty state, not a blank screen or a spinner that never stops.</t>
        </is>
      </c>
      <c r="L80" s="15" t="inlineStr"/>
      <c r="M80" s="15" t="inlineStr"/>
      <c r="N80" s="15" t="inlineStr"/>
      <c r="O80" s="15" t="inlineStr"/>
      <c r="P80" s="15" t="inlineStr"/>
    </row>
    <row r="81" ht="78" customHeight="1">
      <c r="A81" s="14" t="inlineStr">
        <is>
          <t>TC-CON-001</t>
        </is>
      </c>
      <c r="B81" s="15" t="inlineStr">
        <is>
          <t>Student</t>
        </is>
      </c>
      <c r="C81" s="15" t="inlineStr">
        <is>
          <t>Coins, XP &amp; Leaderboard</t>
        </is>
      </c>
      <c r="D81" s="16" t="inlineStr">
        <is>
          <t>Positive</t>
        </is>
      </c>
      <c r="E81" s="19" t="inlineStr">
        <is>
          <t>P1</t>
        </is>
      </c>
      <c r="F81" s="18" t="inlineStr">
        <is>
          <t>Coins are credited for an activity</t>
        </is>
      </c>
      <c r="G81" s="15" t="inlineStr">
        <is>
          <t>Paid member</t>
        </is>
      </c>
      <c r="H81" s="10" t="inlineStr">
        <is>
          <t>/careerpilot/coins</t>
        </is>
      </c>
      <c r="I81" s="15" t="inlineStr">
        <is>
          <t>1. Note the balance
2. Complete a mission
3. Return to the coins screen</t>
        </is>
      </c>
      <c r="J81" s="15" t="inlineStr">
        <is>
          <t>-</t>
        </is>
      </c>
      <c r="K81" s="15" t="inlineStr">
        <is>
          <t>The balance increases by exactly the admin-configured amount and a ledger line explains why.</t>
        </is>
      </c>
      <c r="L81" s="15" t="inlineStr"/>
      <c r="M81" s="15" t="inlineStr"/>
      <c r="N81" s="15" t="inlineStr"/>
      <c r="O81" s="15" t="inlineStr"/>
      <c r="P81" s="15" t="inlineStr"/>
    </row>
    <row r="82" ht="78" customHeight="1">
      <c r="A82" s="14" t="inlineStr">
        <is>
          <t>TC-CON-002</t>
        </is>
      </c>
      <c r="B82" s="15" t="inlineStr">
        <is>
          <t>Student</t>
        </is>
      </c>
      <c r="C82" s="15" t="inlineStr">
        <is>
          <t>Coins, XP &amp; Leaderboard</t>
        </is>
      </c>
      <c r="D82" s="16" t="inlineStr">
        <is>
          <t>Positive</t>
        </is>
      </c>
      <c r="E82" s="19" t="inlineStr">
        <is>
          <t>P1</t>
        </is>
      </c>
      <c r="F82" s="18" t="inlineStr">
        <is>
          <t>Daily cap is respected</t>
        </is>
      </c>
      <c r="G82" s="15" t="inlineStr">
        <is>
          <t>Paid member</t>
        </is>
      </c>
      <c r="H82" s="10" t="inlineStr">
        <is>
          <t>/careerpilot/coins</t>
        </is>
      </c>
      <c r="I82" s="15" t="inlineStr">
        <is>
          <t>1. Repeat a capped activity past its daily limit</t>
        </is>
      </c>
      <c r="J82" s="15" t="inlineStr">
        <is>
          <t>-</t>
        </is>
      </c>
      <c r="K82" s="15" t="inlineStr">
        <is>
          <t>Credits stop at the cap. The member is told the cap is reached rather than silently earning nothing.</t>
        </is>
      </c>
      <c r="L82" s="15" t="inlineStr"/>
      <c r="M82" s="15" t="inlineStr"/>
      <c r="N82" s="15" t="inlineStr"/>
      <c r="O82" s="15" t="inlineStr"/>
      <c r="P82" s="15" t="inlineStr"/>
    </row>
    <row r="83" ht="78" customHeight="1">
      <c r="A83" s="14" t="inlineStr">
        <is>
          <t>TC-CON-003</t>
        </is>
      </c>
      <c r="B83" s="15" t="inlineStr">
        <is>
          <t>Student</t>
        </is>
      </c>
      <c r="C83" s="15" t="inlineStr">
        <is>
          <t>Coins, XP &amp; Leaderboard</t>
        </is>
      </c>
      <c r="D83" s="16" t="inlineStr">
        <is>
          <t>Positive</t>
        </is>
      </c>
      <c r="E83" s="20" t="inlineStr">
        <is>
          <t>P2</t>
        </is>
      </c>
      <c r="F83" s="18" t="inlineStr">
        <is>
          <t>Leaderboard reflects real activity</t>
        </is>
      </c>
      <c r="G83" s="15" t="inlineStr">
        <is>
          <t>Several members with differing activity</t>
        </is>
      </c>
      <c r="H83" s="10" t="inlineStr">
        <is>
          <t>/careerpilot/leaderboard</t>
        </is>
      </c>
      <c r="I83" s="15" t="inlineStr">
        <is>
          <t>1. Open the leaderboard</t>
        </is>
      </c>
      <c r="J83" s="15" t="inlineStr">
        <is>
          <t>-</t>
        </is>
      </c>
      <c r="K83" s="15" t="inlineStr">
        <is>
          <t>Ranking is consistent with actual XP, and the member's own position is visible.</t>
        </is>
      </c>
      <c r="L83" s="15" t="inlineStr"/>
      <c r="M83" s="15" t="inlineStr"/>
      <c r="N83" s="15" t="inlineStr"/>
      <c r="O83" s="15" t="inlineStr"/>
      <c r="P83" s="15" t="inlineStr"/>
    </row>
    <row r="84" ht="78" customHeight="1">
      <c r="A84" s="14" t="inlineStr">
        <is>
          <t>TC-CON-004</t>
        </is>
      </c>
      <c r="B84" s="15" t="inlineStr">
        <is>
          <t>Student</t>
        </is>
      </c>
      <c r="C84" s="15" t="inlineStr">
        <is>
          <t>Coins, XP &amp; Leaderboard</t>
        </is>
      </c>
      <c r="D84" s="21" t="inlineStr">
        <is>
          <t>Negative</t>
        </is>
      </c>
      <c r="E84" s="19" t="inlineStr">
        <is>
          <t>P1</t>
        </is>
      </c>
      <c r="F84" s="18" t="inlineStr">
        <is>
          <t>Coins cannot be spent</t>
        </is>
      </c>
      <c r="G84" s="15" t="inlineStr">
        <is>
          <t>Paid member with a balance</t>
        </is>
      </c>
      <c r="H84" s="10" t="inlineStr">
        <is>
          <t>/careerpilot/coins</t>
        </is>
      </c>
      <c r="I84" s="15" t="inlineStr">
        <is>
          <t>1. Look for any way to redeem or spend</t>
        </is>
      </c>
      <c r="J84" s="15" t="inlineStr">
        <is>
          <t>-</t>
        </is>
      </c>
      <c r="K84" s="15" t="inlineStr">
        <is>
          <t>EXPECTED TODAY: there is none — the spending half is not built. Confirm the UI does not PROMISE redemption it cannot deliver. Raise anything that implies coins are spendable.</t>
        </is>
      </c>
      <c r="L84" s="15" t="inlineStr"/>
      <c r="M84" s="15" t="inlineStr"/>
      <c r="N84" s="15" t="inlineStr"/>
      <c r="O84" s="15" t="inlineStr"/>
      <c r="P84" s="15" t="inlineStr"/>
    </row>
    <row r="85" ht="78" customHeight="1">
      <c r="A85" s="14" t="inlineStr">
        <is>
          <t>TC-CON-005</t>
        </is>
      </c>
      <c r="B85" s="15" t="inlineStr">
        <is>
          <t>Student</t>
        </is>
      </c>
      <c r="C85" s="15" t="inlineStr">
        <is>
          <t>Coins, XP &amp; Leaderboard</t>
        </is>
      </c>
      <c r="D85" s="22" t="inlineStr">
        <is>
          <t>Corner</t>
        </is>
      </c>
      <c r="E85" s="19" t="inlineStr">
        <is>
          <t>P1</t>
        </is>
      </c>
      <c r="F85" s="18" t="inlineStr">
        <is>
          <t>Replayed activity does not double-credit</t>
        </is>
      </c>
      <c r="G85" s="15" t="inlineStr">
        <is>
          <t>Paid member</t>
        </is>
      </c>
      <c r="H85" s="10" t="inlineStr">
        <is>
          <t>/careerpilot/coins</t>
        </is>
      </c>
      <c r="I85" s="15" t="inlineStr">
        <is>
          <t>1. Complete an earning action
2. Replay the same request from dev tools</t>
        </is>
      </c>
      <c r="J85" s="15" t="inlineStr">
        <is>
          <t>-</t>
        </is>
      </c>
      <c r="K85" s="15" t="inlineStr">
        <is>
          <t>Credited exactly once. The ledger's idempotency key must hold.</t>
        </is>
      </c>
      <c r="L85" s="15" t="inlineStr"/>
      <c r="M85" s="15" t="inlineStr"/>
      <c r="N85" s="15" t="inlineStr"/>
      <c r="O85" s="15" t="inlineStr"/>
      <c r="P85" s="15" t="inlineStr"/>
    </row>
    <row r="86" ht="78" customHeight="1">
      <c r="A86" s="14" t="inlineStr">
        <is>
          <t>TC-CON-006</t>
        </is>
      </c>
      <c r="B86" s="15" t="inlineStr">
        <is>
          <t>Student</t>
        </is>
      </c>
      <c r="C86" s="15" t="inlineStr">
        <is>
          <t>Coins, XP &amp; Leaderboard</t>
        </is>
      </c>
      <c r="D86" s="22" t="inlineStr">
        <is>
          <t>Corner</t>
        </is>
      </c>
      <c r="E86" s="20" t="inlineStr">
        <is>
          <t>P2</t>
        </is>
      </c>
      <c r="F86" s="18" t="inlineStr">
        <is>
          <t>Achievements screen with no achievements</t>
        </is>
      </c>
      <c r="G86" s="15" t="inlineStr">
        <is>
          <t>New member</t>
        </is>
      </c>
      <c r="H86" s="10" t="inlineStr">
        <is>
          <t>/careerpilot/achievements</t>
        </is>
      </c>
      <c r="I86" s="15" t="inlineStr">
        <is>
          <t>1. Open achievements</t>
        </is>
      </c>
      <c r="J86" s="15" t="inlineStr">
        <is>
          <t>-</t>
        </is>
      </c>
      <c r="K86" s="15" t="inlineStr">
        <is>
          <t>A sensible empty state. NOTE: this screen is display-only today with no badge rules behind it.</t>
        </is>
      </c>
      <c r="L86" s="15" t="inlineStr"/>
      <c r="M86" s="15" t="inlineStr"/>
      <c r="N86" s="15" t="inlineStr"/>
      <c r="O86" s="15" t="inlineStr"/>
      <c r="P86" s="15" t="inlineStr"/>
    </row>
    <row r="87" ht="78" customHeight="1">
      <c r="A87" s="14" t="inlineStr">
        <is>
          <t>TC-CARD-001</t>
        </is>
      </c>
      <c r="B87" s="15" t="inlineStr">
        <is>
          <t>Student</t>
        </is>
      </c>
      <c r="C87" s="15" t="inlineStr">
        <is>
          <t>Public Passport Card</t>
        </is>
      </c>
      <c r="D87" s="16" t="inlineStr">
        <is>
          <t>Positive</t>
        </is>
      </c>
      <c r="E87" s="19" t="inlineStr">
        <is>
          <t>P1</t>
        </is>
      </c>
      <c r="F87" s="18" t="inlineStr">
        <is>
          <t>Open a card while logged out</t>
        </is>
      </c>
      <c r="G87" s="15" t="inlineStr">
        <is>
          <t>A member with a share slug</t>
        </is>
      </c>
      <c r="H87" s="10" t="inlineStr">
        <is>
          <t>/careerpilot/card/:slug</t>
        </is>
      </c>
      <c r="I87" s="15" t="inlineStr">
        <is>
          <t>1. Copy the card URL
2. Open it in a private window</t>
        </is>
      </c>
      <c r="J87" s="15" t="inlineStr">
        <is>
          <t>-</t>
        </is>
      </c>
      <c r="K87" s="15" t="inlineStr">
        <is>
          <t>The card renders fully without a login and shows the member's public achievements.</t>
        </is>
      </c>
      <c r="L87" s="15" t="inlineStr"/>
      <c r="M87" s="15" t="inlineStr"/>
      <c r="N87" s="15" t="inlineStr"/>
      <c r="O87" s="15" t="inlineStr"/>
      <c r="P87" s="15" t="inlineStr"/>
    </row>
    <row r="88" ht="78" customHeight="1">
      <c r="A88" s="14" t="inlineStr">
        <is>
          <t>TC-CARD-002</t>
        </is>
      </c>
      <c r="B88" s="15" t="inlineStr">
        <is>
          <t>Student</t>
        </is>
      </c>
      <c r="C88" s="15" t="inlineStr">
        <is>
          <t>Public Passport Card</t>
        </is>
      </c>
      <c r="D88" s="21" t="inlineStr">
        <is>
          <t>Negative</t>
        </is>
      </c>
      <c r="E88" s="19" t="inlineStr">
        <is>
          <t>P1</t>
        </is>
      </c>
      <c r="F88" s="18" t="inlineStr">
        <is>
          <t>An unknown slug</t>
        </is>
      </c>
      <c r="G88" s="15" t="inlineStr">
        <is>
          <t>-</t>
        </is>
      </c>
      <c r="H88" s="10" t="inlineStr">
        <is>
          <t>/careerpilot/card/doesnotexist</t>
        </is>
      </c>
      <c r="I88" s="15" t="inlineStr">
        <is>
          <t>1. Open a made-up slug</t>
        </is>
      </c>
      <c r="J88" s="15" t="inlineStr">
        <is>
          <t>-</t>
        </is>
      </c>
      <c r="K88" s="15" t="inlineStr">
        <is>
          <t>A clean not-found page, never a server error or a partly-rendered card.</t>
        </is>
      </c>
      <c r="L88" s="15" t="inlineStr"/>
      <c r="M88" s="15" t="inlineStr"/>
      <c r="N88" s="15" t="inlineStr"/>
      <c r="O88" s="15" t="inlineStr"/>
      <c r="P88" s="15" t="inlineStr"/>
    </row>
    <row r="89" ht="78" customHeight="1">
      <c r="A89" s="14" t="inlineStr">
        <is>
          <t>TC-CARD-003</t>
        </is>
      </c>
      <c r="B89" s="15" t="inlineStr">
        <is>
          <t>Student</t>
        </is>
      </c>
      <c r="C89" s="15" t="inlineStr">
        <is>
          <t>Public Passport Card</t>
        </is>
      </c>
      <c r="D89" s="22" t="inlineStr">
        <is>
          <t>Corner</t>
        </is>
      </c>
      <c r="E89" s="20" t="inlineStr">
        <is>
          <t>P2</t>
        </is>
      </c>
      <c r="F89" s="18" t="inlineStr">
        <is>
          <t>No private data on the public card</t>
        </is>
      </c>
      <c r="G89" s="15" t="inlineStr">
        <is>
          <t>A member with an email and mobile on file</t>
        </is>
      </c>
      <c r="H89" s="10" t="inlineStr">
        <is>
          <t>/careerpilot/card/:slug</t>
        </is>
      </c>
      <c r="I89" s="15" t="inlineStr">
        <is>
          <t>1. Open the card logged out
2. Read the page source</t>
        </is>
      </c>
      <c r="J89" s="15" t="inlineStr">
        <is>
          <t>-</t>
        </is>
      </c>
      <c r="K89" s="15" t="inlineStr">
        <is>
          <t>No mobile number, email or any other private field appears anywhere, including in the page source.</t>
        </is>
      </c>
      <c r="L89" s="15" t="inlineStr"/>
      <c r="M89" s="15" t="inlineStr"/>
      <c r="N89" s="15" t="inlineStr"/>
      <c r="O89" s="15" t="inlineStr"/>
      <c r="P89" s="15" t="inlineStr"/>
    </row>
    <row r="90" ht="78" customHeight="1">
      <c r="A90" s="14" t="inlineStr">
        <is>
          <t>TC-CFG-001</t>
        </is>
      </c>
      <c r="B90" s="15" t="inlineStr">
        <is>
          <t>Admin</t>
        </is>
      </c>
      <c r="C90" s="15" t="inlineStr">
        <is>
          <t>Plan &amp; Entitlements Config</t>
        </is>
      </c>
      <c r="D90" s="16" t="inlineStr">
        <is>
          <t>Positive</t>
        </is>
      </c>
      <c r="E90" s="17" t="inlineStr">
        <is>
          <t>P0</t>
        </is>
      </c>
      <c r="F90" s="18" t="inlineStr">
        <is>
          <t>Change the membership price</t>
        </is>
      </c>
      <c r="G90" s="15" t="inlineStr">
        <is>
          <t>Admin logged in</t>
        </is>
      </c>
      <c r="H90" s="10" t="inlineStr">
        <is>
          <t>/admin/passport/config</t>
        </is>
      </c>
      <c r="I90" s="15" t="inlineStr">
        <is>
          <t>1. Set the price to 1599
2. Save
3. As a student, open a locked feature</t>
        </is>
      </c>
      <c r="J90" s="15" t="inlineStr">
        <is>
          <t>priceInr: 1599</t>
        </is>
      </c>
      <c r="K90" s="15" t="inlineStr">
        <is>
          <t>Every student-facing prompt and the Razorpay order quote ₹1,599 with no deploy.</t>
        </is>
      </c>
      <c r="L90" s="15" t="inlineStr"/>
      <c r="M90" s="15" t="inlineStr"/>
      <c r="N90" s="15" t="inlineStr"/>
      <c r="O90" s="15" t="inlineStr"/>
      <c r="P90" s="15" t="inlineStr"/>
    </row>
    <row r="91" ht="78" customHeight="1">
      <c r="A91" s="14" t="inlineStr">
        <is>
          <t>TC-CFG-002</t>
        </is>
      </c>
      <c r="B91" s="15" t="inlineStr">
        <is>
          <t>Admin</t>
        </is>
      </c>
      <c r="C91" s="15" t="inlineStr">
        <is>
          <t>Plan &amp; Entitlements Config</t>
        </is>
      </c>
      <c r="D91" s="16" t="inlineStr">
        <is>
          <t>Positive</t>
        </is>
      </c>
      <c r="E91" s="17" t="inlineStr">
        <is>
          <t>P0</t>
        </is>
      </c>
      <c r="F91" s="18" t="inlineStr">
        <is>
          <t>Move a feature between free and paid</t>
        </is>
      </c>
      <c r="G91" s="15" t="inlineStr">
        <is>
          <t>Admin logged in</t>
        </is>
      </c>
      <c r="H91" s="10" t="inlineStr">
        <is>
          <t>/admin/passport/config</t>
        </is>
      </c>
      <c r="I91" s="15" t="inlineStr">
        <is>
          <t>1. Switch one paid feature to free
2. Save
3. Check as a FREE member</t>
        </is>
      </c>
      <c r="J91" s="15" t="inlineStr">
        <is>
          <t>-</t>
        </is>
      </c>
      <c r="K91" s="15" t="inlineStr">
        <is>
          <t>The free member can now use it. Switch it back and access is refused again.</t>
        </is>
      </c>
      <c r="L91" s="15" t="inlineStr"/>
      <c r="M91" s="15" t="inlineStr"/>
      <c r="N91" s="15" t="inlineStr"/>
      <c r="O91" s="15" t="inlineStr"/>
      <c r="P91" s="15" t="inlineStr"/>
    </row>
    <row r="92" ht="78" customHeight="1">
      <c r="A92" s="14" t="inlineStr">
        <is>
          <t>TC-CFG-003</t>
        </is>
      </c>
      <c r="B92" s="15" t="inlineStr">
        <is>
          <t>Admin</t>
        </is>
      </c>
      <c r="C92" s="15" t="inlineStr">
        <is>
          <t>Plan &amp; Entitlements Config</t>
        </is>
      </c>
      <c r="D92" s="21" t="inlineStr">
        <is>
          <t>Negative</t>
        </is>
      </c>
      <c r="E92" s="19" t="inlineStr">
        <is>
          <t>P1</t>
        </is>
      </c>
      <c r="F92" s="18" t="inlineStr">
        <is>
          <t>Invalid price is refused</t>
        </is>
      </c>
      <c r="G92" s="15" t="inlineStr">
        <is>
          <t>Admin logged in</t>
        </is>
      </c>
      <c r="H92" s="10" t="inlineStr">
        <is>
          <t>/admin/passport/config</t>
        </is>
      </c>
      <c r="I92" s="15" t="inlineStr">
        <is>
          <t>1. Enter a negative price or text
2. Save</t>
        </is>
      </c>
      <c r="J92" s="15" t="inlineStr">
        <is>
          <t>-1599 / abcd</t>
        </is>
      </c>
      <c r="K92" s="15" t="inlineStr">
        <is>
          <t>Save is refused with a clear message. No invalid value reaches the student-facing prompts.</t>
        </is>
      </c>
      <c r="L92" s="15" t="inlineStr"/>
      <c r="M92" s="15" t="inlineStr"/>
      <c r="N92" s="15" t="inlineStr"/>
      <c r="O92" s="15" t="inlineStr"/>
      <c r="P92" s="15" t="inlineStr"/>
    </row>
    <row r="93" ht="78" customHeight="1">
      <c r="A93" s="14" t="inlineStr">
        <is>
          <t>TC-CFG-004</t>
        </is>
      </c>
      <c r="B93" s="15" t="inlineStr">
        <is>
          <t>Admin</t>
        </is>
      </c>
      <c r="C93" s="15" t="inlineStr">
        <is>
          <t>Plan &amp; Entitlements Config</t>
        </is>
      </c>
      <c r="D93" s="22" t="inlineStr">
        <is>
          <t>Corner</t>
        </is>
      </c>
      <c r="E93" s="17" t="inlineStr">
        <is>
          <t>P0</t>
        </is>
      </c>
      <c r="F93" s="18" t="inlineStr">
        <is>
          <t>All 11 features are listed</t>
        </is>
      </c>
      <c r="G93" s="15" t="inlineStr">
        <is>
          <t>Admin logged in</t>
        </is>
      </c>
      <c r="H93" s="10" t="inlineStr">
        <is>
          <t>/admin/passport/config</t>
        </is>
      </c>
      <c r="I93" s="15" t="inlineStr">
        <is>
          <t>1. Count the entitlement rows</t>
        </is>
      </c>
      <c r="J93" s="15" t="inlineStr">
        <is>
          <t>-</t>
        </is>
      </c>
      <c r="K93" s="15" t="inlineStr">
        <is>
          <t>Eleven rows including Daily Tech News and Company Interview Questions. KNOWN DEFECT: production holds only 9 — those two are missing and cannot be priced. Expect this to fail today.</t>
        </is>
      </c>
      <c r="L93" s="15" t="inlineStr"/>
      <c r="M93" s="15" t="inlineStr"/>
      <c r="N93" s="15" t="inlineStr"/>
      <c r="O93" s="15" t="inlineStr"/>
      <c r="P93" s="15" t="inlineStr"/>
    </row>
    <row r="94" ht="78" customHeight="1">
      <c r="A94" s="14" t="inlineStr">
        <is>
          <t>TC-ABLD-001</t>
        </is>
      </c>
      <c r="B94" s="15" t="inlineStr">
        <is>
          <t>Admin</t>
        </is>
      </c>
      <c r="C94" s="15" t="inlineStr">
        <is>
          <t>Assessment Builder &amp; Paper Design</t>
        </is>
      </c>
      <c r="D94" s="16" t="inlineStr">
        <is>
          <t>Positive</t>
        </is>
      </c>
      <c r="E94" s="17" t="inlineStr">
        <is>
          <t>P0</t>
        </is>
      </c>
      <c r="F94" s="18" t="inlineStr">
        <is>
          <t>Add a question and see it live</t>
        </is>
      </c>
      <c r="G94" s="15" t="inlineStr">
        <is>
          <t>Admin logged in</t>
        </is>
      </c>
      <c r="H94" s="10" t="inlineStr">
        <is>
          <t>/admin/passport/assessment</t>
        </is>
      </c>
      <c r="I94" s="15" t="inlineStr">
        <is>
          <t>1. Add a question to a stage segment
2. Save
3. Start a fresh assessment as a student</t>
        </is>
      </c>
      <c r="J94" s="15" t="inlineStr">
        <is>
          <t>-</t>
        </is>
      </c>
      <c r="K94" s="15" t="inlineStr">
        <is>
          <t>The new question appears in the correct segment for a new attempt.</t>
        </is>
      </c>
      <c r="L94" s="15" t="inlineStr"/>
      <c r="M94" s="15" t="inlineStr"/>
      <c r="N94" s="15" t="inlineStr"/>
      <c r="O94" s="15" t="inlineStr"/>
      <c r="P94" s="15" t="inlineStr"/>
    </row>
    <row r="95" ht="78" customHeight="1">
      <c r="A95" s="14" t="inlineStr">
        <is>
          <t>TC-ABLD-002</t>
        </is>
      </c>
      <c r="B95" s="15" t="inlineStr">
        <is>
          <t>Admin</t>
        </is>
      </c>
      <c r="C95" s="15" t="inlineStr">
        <is>
          <t>Assessment Builder &amp; Paper Design</t>
        </is>
      </c>
      <c r="D95" s="16" t="inlineStr">
        <is>
          <t>Positive</t>
        </is>
      </c>
      <c r="E95" s="19" t="inlineStr">
        <is>
          <t>P1</t>
        </is>
      </c>
      <c r="F95" s="18" t="inlineStr">
        <is>
          <t>Manage scoring categories</t>
        </is>
      </c>
      <c r="G95" s="15" t="inlineStr">
        <is>
          <t>Admin logged in</t>
        </is>
      </c>
      <c r="H95" s="10" t="inlineStr">
        <is>
          <t>/admin/passport/assessment</t>
        </is>
      </c>
      <c r="I95" s="15" t="inlineStr">
        <is>
          <t>1. Add a scoring category
2. Attach questions to it
3. Complete an assessment</t>
        </is>
      </c>
      <c r="J95" s="15" t="inlineStr">
        <is>
          <t>-</t>
        </is>
      </c>
      <c r="K95" s="15" t="inlineStr">
        <is>
          <t>The category appears in the student's breakdown with a score derived only from its own questions.</t>
        </is>
      </c>
      <c r="L95" s="15" t="inlineStr"/>
      <c r="M95" s="15" t="inlineStr"/>
      <c r="N95" s="15" t="inlineStr"/>
      <c r="O95" s="15" t="inlineStr"/>
      <c r="P95" s="15" t="inlineStr"/>
    </row>
    <row r="96" ht="78" customHeight="1">
      <c r="A96" s="14" t="inlineStr">
        <is>
          <t>TC-ABLD-003</t>
        </is>
      </c>
      <c r="B96" s="15" t="inlineStr">
        <is>
          <t>Admin</t>
        </is>
      </c>
      <c r="C96" s="15" t="inlineStr">
        <is>
          <t>Assessment Builder &amp; Paper Design</t>
        </is>
      </c>
      <c r="D96" s="16" t="inlineStr">
        <is>
          <t>Positive</t>
        </is>
      </c>
      <c r="E96" s="20" t="inlineStr">
        <is>
          <t>P2</t>
        </is>
      </c>
      <c r="F96" s="18" t="inlineStr">
        <is>
          <t>Paper design preview</t>
        </is>
      </c>
      <c r="G96" s="15" t="inlineStr">
        <is>
          <t>Admin logged in</t>
        </is>
      </c>
      <c r="H96" s="10" t="inlineStr">
        <is>
          <t>/admin/careerpilot/paper-design</t>
        </is>
      </c>
      <c r="I96" s="15" t="inlineStr">
        <is>
          <t>1. Change the layout
2. Preview</t>
        </is>
      </c>
      <c r="J96" s="15" t="inlineStr">
        <is>
          <t>-</t>
        </is>
      </c>
      <c r="K96" s="15" t="inlineStr">
        <is>
          <t>The preview matches the settings and prints sensibly.</t>
        </is>
      </c>
      <c r="L96" s="15" t="inlineStr"/>
      <c r="M96" s="15" t="inlineStr"/>
      <c r="N96" s="15" t="inlineStr"/>
      <c r="O96" s="15" t="inlineStr"/>
      <c r="P96" s="15" t="inlineStr"/>
    </row>
    <row r="97" ht="78" customHeight="1">
      <c r="A97" s="14" t="inlineStr">
        <is>
          <t>TC-ABLD-004</t>
        </is>
      </c>
      <c r="B97" s="15" t="inlineStr">
        <is>
          <t>Admin</t>
        </is>
      </c>
      <c r="C97" s="15" t="inlineStr">
        <is>
          <t>Assessment Builder &amp; Paper Design</t>
        </is>
      </c>
      <c r="D97" s="21" t="inlineStr">
        <is>
          <t>Negative</t>
        </is>
      </c>
      <c r="E97" s="19" t="inlineStr">
        <is>
          <t>P1</t>
        </is>
      </c>
      <c r="F97" s="18" t="inlineStr">
        <is>
          <t>A question with no correct answer</t>
        </is>
      </c>
      <c r="G97" s="15" t="inlineStr">
        <is>
          <t>Admin logged in</t>
        </is>
      </c>
      <c r="H97" s="10" t="inlineStr">
        <is>
          <t>/admin/passport/assessment</t>
        </is>
      </c>
      <c r="I97" s="15" t="inlineStr">
        <is>
          <t>1. Add options but mark none correct
2. Save</t>
        </is>
      </c>
      <c r="J97" s="15" t="inlineStr">
        <is>
          <t>-</t>
        </is>
      </c>
      <c r="K97" s="15" t="inlineStr">
        <is>
          <t>Refused with a clear message. An unmarkable question must never reach a student.</t>
        </is>
      </c>
      <c r="L97" s="15" t="inlineStr"/>
      <c r="M97" s="15" t="inlineStr"/>
      <c r="N97" s="15" t="inlineStr"/>
      <c r="O97" s="15" t="inlineStr"/>
      <c r="P97" s="15" t="inlineStr"/>
    </row>
    <row r="98" ht="78" customHeight="1">
      <c r="A98" s="14" t="inlineStr">
        <is>
          <t>TC-ABLD-005</t>
        </is>
      </c>
      <c r="B98" s="15" t="inlineStr">
        <is>
          <t>Admin</t>
        </is>
      </c>
      <c r="C98" s="15" t="inlineStr">
        <is>
          <t>Assessment Builder &amp; Paper Design</t>
        </is>
      </c>
      <c r="D98" s="22" t="inlineStr">
        <is>
          <t>Corner</t>
        </is>
      </c>
      <c r="E98" s="19" t="inlineStr">
        <is>
          <t>P1</t>
        </is>
      </c>
      <c r="F98" s="18" t="inlineStr">
        <is>
          <t>Deleting a question already answered</t>
        </is>
      </c>
      <c r="G98" s="15" t="inlineStr">
        <is>
          <t>A member has answered it</t>
        </is>
      </c>
      <c r="H98" s="10" t="inlineStr">
        <is>
          <t>/admin/passport/assessment</t>
        </is>
      </c>
      <c r="I98" s="15" t="inlineStr">
        <is>
          <t>1. Delete the question
2. Open that member's result</t>
        </is>
      </c>
      <c r="J98" s="15" t="inlineStr">
        <is>
          <t>-</t>
        </is>
      </c>
      <c r="K98" s="15" t="inlineStr">
        <is>
          <t>The historic result still renders. Past answers are not orphaned into a crash.</t>
        </is>
      </c>
      <c r="L98" s="15" t="inlineStr"/>
      <c r="M98" s="15" t="inlineStr"/>
      <c r="N98" s="15" t="inlineStr"/>
      <c r="O98" s="15" t="inlineStr"/>
      <c r="P98" s="15" t="inlineStr"/>
    </row>
    <row r="99" ht="78" customHeight="1">
      <c r="A99" s="14" t="inlineStr">
        <is>
          <t>TC-PATH-001</t>
        </is>
      </c>
      <c r="B99" s="15" t="inlineStr">
        <is>
          <t>Admin</t>
        </is>
      </c>
      <c r="C99" s="15" t="inlineStr">
        <is>
          <t>Pathways &amp; Missions</t>
        </is>
      </c>
      <c r="D99" s="16" t="inlineStr">
        <is>
          <t>Positive</t>
        </is>
      </c>
      <c r="E99" s="17" t="inlineStr">
        <is>
          <t>P0</t>
        </is>
      </c>
      <c r="F99" s="18" t="inlineStr">
        <is>
          <t>Create a pathway</t>
        </is>
      </c>
      <c r="G99" s="15" t="inlineStr">
        <is>
          <t>Admin logged in</t>
        </is>
      </c>
      <c r="H99" s="10" t="inlineStr">
        <is>
          <t>/admin/passport/pathways</t>
        </is>
      </c>
      <c r="I99" s="15" t="inlineStr">
        <is>
          <t>1. Create a pathway
2. Save
3. Assign a member to it</t>
        </is>
      </c>
      <c r="J99" s="15" t="inlineStr">
        <is>
          <t>-</t>
        </is>
      </c>
      <c r="K99" s="15" t="inlineStr">
        <is>
          <t>It is selectable and the member's content follows it.</t>
        </is>
      </c>
      <c r="L99" s="15" t="inlineStr"/>
      <c r="M99" s="15" t="inlineStr"/>
      <c r="N99" s="15" t="inlineStr"/>
      <c r="O99" s="15" t="inlineStr"/>
      <c r="P99" s="15" t="inlineStr"/>
    </row>
    <row r="100" ht="78" customHeight="1">
      <c r="A100" s="14" t="inlineStr">
        <is>
          <t>TC-PATH-002</t>
        </is>
      </c>
      <c r="B100" s="15" t="inlineStr">
        <is>
          <t>Admin</t>
        </is>
      </c>
      <c r="C100" s="15" t="inlineStr">
        <is>
          <t>Pathways &amp; Missions</t>
        </is>
      </c>
      <c r="D100" s="16" t="inlineStr">
        <is>
          <t>Positive</t>
        </is>
      </c>
      <c r="E100" s="17" t="inlineStr">
        <is>
          <t>P0</t>
        </is>
      </c>
      <c r="F100" s="18" t="inlineStr">
        <is>
          <t>Create a mission for today</t>
        </is>
      </c>
      <c r="G100" s="15" t="inlineStr">
        <is>
          <t>Admin logged in</t>
        </is>
      </c>
      <c r="H100" s="10" t="inlineStr">
        <is>
          <t>/admin/passport/missions</t>
        </is>
      </c>
      <c r="I100" s="15" t="inlineStr">
        <is>
          <t>1. Create a mission for today's date
2. Save
3. Open the member dashboard</t>
        </is>
      </c>
      <c r="J100" s="15" t="inlineStr">
        <is>
          <t>-</t>
        </is>
      </c>
      <c r="K100" s="15" t="inlineStr">
        <is>
          <t>It appears in the member's list for today and can be completed.</t>
        </is>
      </c>
      <c r="L100" s="15" t="inlineStr"/>
      <c r="M100" s="15" t="inlineStr"/>
      <c r="N100" s="15" t="inlineStr"/>
      <c r="O100" s="15" t="inlineStr"/>
      <c r="P100" s="15" t="inlineStr"/>
    </row>
    <row r="101" ht="78" customHeight="1">
      <c r="A101" s="14" t="inlineStr">
        <is>
          <t>TC-PATH-003</t>
        </is>
      </c>
      <c r="B101" s="15" t="inlineStr">
        <is>
          <t>Admin</t>
        </is>
      </c>
      <c r="C101" s="15" t="inlineStr">
        <is>
          <t>Pathways &amp; Missions</t>
        </is>
      </c>
      <c r="D101" s="21" t="inlineStr">
        <is>
          <t>Negative</t>
        </is>
      </c>
      <c r="E101" s="19" t="inlineStr">
        <is>
          <t>P1</t>
        </is>
      </c>
      <c r="F101" s="18" t="inlineStr">
        <is>
          <t>Delete a pathway in use</t>
        </is>
      </c>
      <c r="G101" s="15" t="inlineStr">
        <is>
          <t>A member is on that pathway</t>
        </is>
      </c>
      <c r="H101" s="10" t="inlineStr">
        <is>
          <t>/admin/passport/pathways</t>
        </is>
      </c>
      <c r="I101" s="15" t="inlineStr">
        <is>
          <t>1. Attempt to delete it</t>
        </is>
      </c>
      <c r="J101" s="15" t="inlineStr">
        <is>
          <t>-</t>
        </is>
      </c>
      <c r="K101" s="15" t="inlineStr">
        <is>
          <t>Either blocked with an explanation, or the affected members are handled explicitly. No member is left pointing at nothing.</t>
        </is>
      </c>
      <c r="L101" s="15" t="inlineStr"/>
      <c r="M101" s="15" t="inlineStr"/>
      <c r="N101" s="15" t="inlineStr"/>
      <c r="O101" s="15" t="inlineStr"/>
      <c r="P101" s="15" t="inlineStr"/>
    </row>
    <row r="102" ht="78" customHeight="1">
      <c r="A102" s="14" t="inlineStr">
        <is>
          <t>TC-PATH-004</t>
        </is>
      </c>
      <c r="B102" s="15" t="inlineStr">
        <is>
          <t>Admin</t>
        </is>
      </c>
      <c r="C102" s="15" t="inlineStr">
        <is>
          <t>Pathways &amp; Missions</t>
        </is>
      </c>
      <c r="D102" s="22" t="inlineStr">
        <is>
          <t>Corner</t>
        </is>
      </c>
      <c r="E102" s="20" t="inlineStr">
        <is>
          <t>P2</t>
        </is>
      </c>
      <c r="F102" s="18" t="inlineStr">
        <is>
          <t>A mission dated in the past</t>
        </is>
      </c>
      <c r="G102" s="15" t="inlineStr">
        <is>
          <t>Admin logged in</t>
        </is>
      </c>
      <c r="H102" s="10" t="inlineStr">
        <is>
          <t>/admin/passport/missions</t>
        </is>
      </c>
      <c r="I102" s="15" t="inlineStr">
        <is>
          <t>1. Create a mission dated last week
2. Check the member dashboard</t>
        </is>
      </c>
      <c r="J102" s="15" t="inlineStr">
        <is>
          <t>-</t>
        </is>
      </c>
      <c r="K102" s="15" t="inlineStr">
        <is>
          <t>It does not appear as today's work and does not corrupt the streak.</t>
        </is>
      </c>
      <c r="L102" s="15" t="inlineStr"/>
      <c r="M102" s="15" t="inlineStr"/>
      <c r="N102" s="15" t="inlineStr"/>
      <c r="O102" s="15" t="inlineStr"/>
      <c r="P102" s="15" t="inlineStr"/>
    </row>
    <row r="103" ht="78" customHeight="1">
      <c r="A103" s="14" t="inlineStr">
        <is>
          <t>TC-MADM-001</t>
        </is>
      </c>
      <c r="B103" s="15" t="inlineStr">
        <is>
          <t>Admin</t>
        </is>
      </c>
      <c r="C103" s="15" t="inlineStr">
        <is>
          <t>Members Admin</t>
        </is>
      </c>
      <c r="D103" s="16" t="inlineStr">
        <is>
          <t>Positive</t>
        </is>
      </c>
      <c r="E103" s="17" t="inlineStr">
        <is>
          <t>P0</t>
        </is>
      </c>
      <c r="F103" s="18" t="inlineStr">
        <is>
          <t>Find a member and read their history</t>
        </is>
      </c>
      <c r="G103" s="15" t="inlineStr">
        <is>
          <t>Members exist</t>
        </is>
      </c>
      <c r="H103" s="10" t="inlineStr">
        <is>
          <t>/admin/passport/students</t>
        </is>
      </c>
      <c r="I103" s="15" t="inlineStr">
        <is>
          <t>1. Search by name, mobile and email
2. Open the member
3. Open answers and interviews</t>
        </is>
      </c>
      <c r="J103" s="15" t="inlineStr">
        <is>
          <t>-</t>
        </is>
      </c>
      <c r="K103" s="15" t="inlineStr">
        <is>
          <t>Search works on all three. Assessment answers and interview transcripts are readable.</t>
        </is>
      </c>
      <c r="L103" s="15" t="inlineStr"/>
      <c r="M103" s="15" t="inlineStr"/>
      <c r="N103" s="15" t="inlineStr"/>
      <c r="O103" s="15" t="inlineStr"/>
      <c r="P103" s="15" t="inlineStr"/>
    </row>
    <row r="104" ht="78" customHeight="1">
      <c r="A104" s="14" t="inlineStr">
        <is>
          <t>TC-MADM-002</t>
        </is>
      </c>
      <c r="B104" s="15" t="inlineStr">
        <is>
          <t>Admin</t>
        </is>
      </c>
      <c r="C104" s="15" t="inlineStr">
        <is>
          <t>Members Admin</t>
        </is>
      </c>
      <c r="D104" s="16" t="inlineStr">
        <is>
          <t>Positive</t>
        </is>
      </c>
      <c r="E104" s="19" t="inlineStr">
        <is>
          <t>P1</t>
        </is>
      </c>
      <c r="F104" s="18" t="inlineStr">
        <is>
          <t>Deactivate and reactivate</t>
        </is>
      </c>
      <c r="G104" s="15" t="inlineStr">
        <is>
          <t>An active member</t>
        </is>
      </c>
      <c r="H104" s="10" t="inlineStr">
        <is>
          <t>/admin/passport/students</t>
        </is>
      </c>
      <c r="I104" s="15" t="inlineStr">
        <is>
          <t>1. Deactivate
2. Try to log in as that member
3. Reactivate
4. Log in again</t>
        </is>
      </c>
      <c r="J104" s="15" t="inlineStr">
        <is>
          <t>-</t>
        </is>
      </c>
      <c r="K104" s="15" t="inlineStr">
        <is>
          <t>Login is refused while deactivated with a readable message, and works again after reactivation.</t>
        </is>
      </c>
      <c r="L104" s="15" t="inlineStr"/>
      <c r="M104" s="15" t="inlineStr"/>
      <c r="N104" s="15" t="inlineStr"/>
      <c r="O104" s="15" t="inlineStr"/>
      <c r="P104" s="15" t="inlineStr"/>
    </row>
    <row r="105" ht="78" customHeight="1">
      <c r="A105" s="14" t="inlineStr">
        <is>
          <t>TC-MADM-003</t>
        </is>
      </c>
      <c r="B105" s="15" t="inlineStr">
        <is>
          <t>Admin</t>
        </is>
      </c>
      <c r="C105" s="15" t="inlineStr">
        <is>
          <t>Members Admin</t>
        </is>
      </c>
      <c r="D105" s="16" t="inlineStr">
        <is>
          <t>Positive</t>
        </is>
      </c>
      <c r="E105" s="20" t="inlineStr">
        <is>
          <t>P2</t>
        </is>
      </c>
      <c r="F105" s="18" t="inlineStr">
        <is>
          <t>Create a member manually</t>
        </is>
      </c>
      <c r="G105" s="15" t="inlineStr">
        <is>
          <t>Admin logged in</t>
        </is>
      </c>
      <c r="H105" s="10" t="inlineStr">
        <is>
          <t>/admin/passport/students</t>
        </is>
      </c>
      <c r="I105" s="15" t="inlineStr">
        <is>
          <t>1. Create a member with a valid mobile
2. Save</t>
        </is>
      </c>
      <c r="J105" s="15" t="inlineStr">
        <is>
          <t>Mobile: 9876500099</t>
        </is>
      </c>
      <c r="K105" s="15" t="inlineStr">
        <is>
          <t>The member is created and can log in via OTP.</t>
        </is>
      </c>
      <c r="L105" s="15" t="inlineStr"/>
      <c r="M105" s="15" t="inlineStr"/>
      <c r="N105" s="15" t="inlineStr"/>
      <c r="O105" s="15" t="inlineStr"/>
      <c r="P105" s="15" t="inlineStr"/>
    </row>
    <row r="106" ht="78" customHeight="1">
      <c r="A106" s="14" t="inlineStr">
        <is>
          <t>TC-MADM-004</t>
        </is>
      </c>
      <c r="B106" s="15" t="inlineStr">
        <is>
          <t>Admin</t>
        </is>
      </c>
      <c r="C106" s="15" t="inlineStr">
        <is>
          <t>Members Admin</t>
        </is>
      </c>
      <c r="D106" s="21" t="inlineStr">
        <is>
          <t>Negative</t>
        </is>
      </c>
      <c r="E106" s="19" t="inlineStr">
        <is>
          <t>P1</t>
        </is>
      </c>
      <c r="F106" s="18" t="inlineStr">
        <is>
          <t>Create with a duplicate mobile</t>
        </is>
      </c>
      <c r="G106" s="15" t="inlineStr">
        <is>
          <t>That mobile already exists</t>
        </is>
      </c>
      <c r="H106" s="10" t="inlineStr">
        <is>
          <t>/admin/passport/students</t>
        </is>
      </c>
      <c r="I106" s="15" t="inlineStr">
        <is>
          <t>1. Create a member on an existing number</t>
        </is>
      </c>
      <c r="J106" s="15" t="inlineStr">
        <is>
          <t>-</t>
        </is>
      </c>
      <c r="K106" s="15" t="inlineStr">
        <is>
          <t>Refused with a clear duplicate message. No second account is created.</t>
        </is>
      </c>
      <c r="L106" s="15" t="inlineStr"/>
      <c r="M106" s="15" t="inlineStr"/>
      <c r="N106" s="15" t="inlineStr"/>
      <c r="O106" s="15" t="inlineStr"/>
      <c r="P106" s="15" t="inlineStr"/>
    </row>
    <row r="107" ht="78" customHeight="1">
      <c r="A107" s="14" t="inlineStr">
        <is>
          <t>TC-MADM-005</t>
        </is>
      </c>
      <c r="B107" s="15" t="inlineStr">
        <is>
          <t>Admin</t>
        </is>
      </c>
      <c r="C107" s="15" t="inlineStr">
        <is>
          <t>Members Admin</t>
        </is>
      </c>
      <c r="D107" s="22" t="inlineStr">
        <is>
          <t>Corner</t>
        </is>
      </c>
      <c r="E107" s="19" t="inlineStr">
        <is>
          <t>P1</t>
        </is>
      </c>
      <c r="F107" s="18" t="inlineStr">
        <is>
          <t>Deleting a member with history</t>
        </is>
      </c>
      <c r="G107" s="15" t="inlineStr">
        <is>
          <t>A member with interviews and submissions</t>
        </is>
      </c>
      <c r="H107" s="10" t="inlineStr">
        <is>
          <t>/admin/passport/students</t>
        </is>
      </c>
      <c r="I107" s="15" t="inlineStr">
        <is>
          <t>1. Delete them
2. Open the leaderboard and the ledger</t>
        </is>
      </c>
      <c r="J107" s="15" t="inlineStr">
        <is>
          <t>-</t>
        </is>
      </c>
      <c r="K107" s="15" t="inlineStr">
        <is>
          <t>Nothing crashes and no orphaned row renders as blank or 'undefined'.</t>
        </is>
      </c>
      <c r="L107" s="15" t="inlineStr"/>
      <c r="M107" s="15" t="inlineStr"/>
      <c r="N107" s="15" t="inlineStr"/>
      <c r="O107" s="15" t="inlineStr"/>
      <c r="P107" s="15" t="inlineStr"/>
    </row>
    <row r="108" ht="78" customHeight="1">
      <c r="A108" s="14" t="inlineStr">
        <is>
          <t>TC-CADM-001</t>
        </is>
      </c>
      <c r="B108" s="15" t="inlineStr">
        <is>
          <t>Admin</t>
        </is>
      </c>
      <c r="C108" s="15" t="inlineStr">
        <is>
          <t>Company Roster &amp; Content</t>
        </is>
      </c>
      <c r="D108" s="16" t="inlineStr">
        <is>
          <t>Positive</t>
        </is>
      </c>
      <c r="E108" s="17" t="inlineStr">
        <is>
          <t>P0</t>
        </is>
      </c>
      <c r="F108" s="18" t="inlineStr">
        <is>
          <t>Bulk-create companies from a pasted list</t>
        </is>
      </c>
      <c r="G108" s="15" t="inlineStr">
        <is>
          <t>Admin logged in</t>
        </is>
      </c>
      <c r="H108" s="10" t="inlineStr">
        <is>
          <t>/admin/passport/companies → Roster</t>
        </is>
      </c>
      <c r="I108" s="15" t="inlineStr">
        <is>
          <t>1. Paste a NUMBERED list of names
2. Create</t>
        </is>
      </c>
      <c r="J108" s="15" t="inlineStr">
        <is>
          <t>1. TCS
2. Infosys
3. Wipro</t>
        </is>
      </c>
      <c r="K108" s="15" t="inlineStr">
        <is>
          <t>Companies are created as 'TCS', 'Infosys', 'Wipro' with clean slugs. The numbering must be stripped from BOTH the name and the URL.</t>
        </is>
      </c>
      <c r="L108" s="15" t="inlineStr"/>
      <c r="M108" s="15" t="inlineStr"/>
      <c r="N108" s="15" t="inlineStr"/>
      <c r="O108" s="15" t="inlineStr"/>
      <c r="P108" s="15" t="inlineStr"/>
    </row>
    <row r="109" ht="78" customHeight="1">
      <c r="A109" s="14" t="inlineStr">
        <is>
          <t>TC-CADM-002</t>
        </is>
      </c>
      <c r="B109" s="15" t="inlineStr">
        <is>
          <t>Admin</t>
        </is>
      </c>
      <c r="C109" s="15" t="inlineStr">
        <is>
          <t>Company Roster &amp; Content</t>
        </is>
      </c>
      <c r="D109" s="16" t="inlineStr">
        <is>
          <t>Positive</t>
        </is>
      </c>
      <c r="E109" s="17" t="inlineStr">
        <is>
          <t>P0</t>
        </is>
      </c>
      <c r="F109" s="18" t="inlineStr">
        <is>
          <t>AI-draft all missing profiles</t>
        </is>
      </c>
      <c r="G109" s="15" t="inlineStr">
        <is>
          <t>Companies exist without profiles</t>
        </is>
      </c>
      <c r="H109" s="10" t="inlineStr">
        <is>
          <t>/admin/passport/companies → Roster</t>
        </is>
      </c>
      <c r="I109" s="15" t="inlineStr">
        <is>
          <t>1. Tap Draft all missing
2. Wait for it to finish</t>
        </is>
      </c>
      <c r="J109" s="15" t="inlineStr">
        <is>
          <t>-</t>
        </is>
      </c>
      <c r="K109" s="15" t="inlineStr">
        <is>
          <t>Overview, eligibility, salary bands and interview rounds are filled. Eligibility and salary remain UNVERIFIED until a human ticks them.</t>
        </is>
      </c>
      <c r="L109" s="15" t="inlineStr"/>
      <c r="M109" s="15" t="inlineStr"/>
      <c r="N109" s="15" t="inlineStr"/>
      <c r="O109" s="15" t="inlineStr"/>
      <c r="P109" s="15" t="inlineStr"/>
    </row>
    <row r="110" ht="78" customHeight="1">
      <c r="A110" s="14" t="inlineStr">
        <is>
          <t>TC-CADM-003</t>
        </is>
      </c>
      <c r="B110" s="15" t="inlineStr">
        <is>
          <t>Admin</t>
        </is>
      </c>
      <c r="C110" s="15" t="inlineStr">
        <is>
          <t>Company Roster &amp; Content</t>
        </is>
      </c>
      <c r="D110" s="16" t="inlineStr">
        <is>
          <t>Positive</t>
        </is>
      </c>
      <c r="E110" s="17" t="inlineStr">
        <is>
          <t>P0</t>
        </is>
      </c>
      <c r="F110" s="18" t="inlineStr">
        <is>
          <t>Take a company live</t>
        </is>
      </c>
      <c r="G110" s="15" t="inlineStr">
        <is>
          <t>A company at 83% needing questions</t>
        </is>
      </c>
      <c r="H110" s="10" t="inlineStr">
        <is>
          <t>/admin/passport/companies</t>
        </is>
      </c>
      <c r="I110" s="15" t="inlineStr">
        <is>
          <t>1. Import or generate 20+ questions and publish them
2. Tick Verify eligibility
3. Check the student list</t>
        </is>
      </c>
      <c r="J110" s="15" t="inlineStr">
        <is>
          <t>Use Cognizant — it needs 10 more</t>
        </is>
      </c>
      <c r="K110" s="15" t="inlineStr">
        <is>
          <t>The row reaches 100%, and the company appears to students with NO publish button pressed.</t>
        </is>
      </c>
      <c r="L110" s="15" t="inlineStr"/>
      <c r="M110" s="15" t="inlineStr"/>
      <c r="N110" s="15" t="inlineStr"/>
      <c r="O110" s="15" t="inlineStr"/>
      <c r="P110" s="15" t="inlineStr"/>
    </row>
    <row r="111" ht="78" customHeight="1">
      <c r="A111" s="14" t="inlineStr">
        <is>
          <t>TC-CADM-004</t>
        </is>
      </c>
      <c r="B111" s="15" t="inlineStr">
        <is>
          <t>Admin</t>
        </is>
      </c>
      <c r="C111" s="15" t="inlineStr">
        <is>
          <t>Company Roster &amp; Content</t>
        </is>
      </c>
      <c r="D111" s="16" t="inlineStr">
        <is>
          <t>Positive</t>
        </is>
      </c>
      <c r="E111" s="19" t="inlineStr">
        <is>
          <t>P1</t>
        </is>
      </c>
      <c r="F111" s="18" t="inlineStr">
        <is>
          <t>Edit an interview pattern</t>
        </is>
      </c>
      <c r="G111" s="15" t="inlineStr">
        <is>
          <t>A company exists</t>
        </is>
      </c>
      <c r="H111" s="10" t="inlineStr">
        <is>
          <t>/admin/passport/companies → Interview pattern</t>
        </is>
      </c>
      <c r="I111" s="15" t="inlineStr">
        <is>
          <t>1. Add a round, set its duration and what it tests
2. Save
3. View as a student</t>
        </is>
      </c>
      <c r="J111" s="15" t="inlineStr">
        <is>
          <t>-</t>
        </is>
      </c>
      <c r="K111" s="15" t="inlineStr">
        <is>
          <t>The round appears in the student's Interview Pattern tab in the right order.</t>
        </is>
      </c>
      <c r="L111" s="15" t="inlineStr"/>
      <c r="M111" s="15" t="inlineStr"/>
      <c r="N111" s="15" t="inlineStr"/>
      <c r="O111" s="15" t="inlineStr"/>
      <c r="P111" s="15" t="inlineStr"/>
    </row>
    <row r="112" ht="78" customHeight="1">
      <c r="A112" s="14" t="inlineStr">
        <is>
          <t>TC-CADM-005</t>
        </is>
      </c>
      <c r="B112" s="15" t="inlineStr">
        <is>
          <t>Admin</t>
        </is>
      </c>
      <c r="C112" s="15" t="inlineStr">
        <is>
          <t>Company Roster &amp; Content</t>
        </is>
      </c>
      <c r="D112" s="16" t="inlineStr">
        <is>
          <t>Positive</t>
        </is>
      </c>
      <c r="E112" s="19" t="inlineStr">
        <is>
          <t>P1</t>
        </is>
      </c>
      <c r="F112" s="18" t="inlineStr">
        <is>
          <t>Import questions in bulk</t>
        </is>
      </c>
      <c r="G112" s="15" t="inlineStr">
        <is>
          <t>A company exists</t>
        </is>
      </c>
      <c r="H112" s="10" t="inlineStr">
        <is>
          <t>/admin/passport/companies → Import / Generate</t>
        </is>
      </c>
      <c r="I112" s="15" t="inlineStr">
        <is>
          <t>1. Paste a batch of questions
2. Import
3. Publish them</t>
        </is>
      </c>
      <c r="J112" s="15" t="inlineStr">
        <is>
          <t>-</t>
        </is>
      </c>
      <c r="K112" s="15" t="inlineStr">
        <is>
          <t>All are created against the right company and the readiness count rises accordingly.</t>
        </is>
      </c>
      <c r="L112" s="15" t="inlineStr"/>
      <c r="M112" s="15" t="inlineStr"/>
      <c r="N112" s="15" t="inlineStr"/>
      <c r="O112" s="15" t="inlineStr"/>
      <c r="P112" s="15" t="inlineStr"/>
    </row>
    <row r="113" ht="78" customHeight="1">
      <c r="A113" s="14" t="inlineStr">
        <is>
          <t>TC-CADM-006</t>
        </is>
      </c>
      <c r="B113" s="15" t="inlineStr">
        <is>
          <t>Admin</t>
        </is>
      </c>
      <c r="C113" s="15" t="inlineStr">
        <is>
          <t>Company Roster &amp; Content</t>
        </is>
      </c>
      <c r="D113" s="21" t="inlineStr">
        <is>
          <t>Negative</t>
        </is>
      </c>
      <c r="E113" s="17" t="inlineStr">
        <is>
          <t>P0</t>
        </is>
      </c>
      <c r="F113" s="18" t="inlineStr">
        <is>
          <t>Readiness cannot be faked</t>
        </is>
      </c>
      <c r="G113" s="15" t="inlineStr">
        <is>
          <t>A company with 19 questions</t>
        </is>
      </c>
      <c r="H113" s="10" t="inlineStr">
        <is>
          <t>/admin/passport/companies</t>
        </is>
      </c>
      <c r="I113" s="15" t="inlineStr">
        <is>
          <t>1. Verify eligibility and write the overview but leave questions at 19
2. Check the student list</t>
        </is>
      </c>
      <c r="J113" s="15" t="inlineStr">
        <is>
          <t>-</t>
        </is>
      </c>
      <c r="K113" s="15" t="inlineStr">
        <is>
          <t>It stays below the bar and remains invisible. Every one of the four checks must pass — no partial credit.</t>
        </is>
      </c>
      <c r="L113" s="15" t="inlineStr"/>
      <c r="M113" s="15" t="inlineStr"/>
      <c r="N113" s="15" t="inlineStr"/>
      <c r="O113" s="15" t="inlineStr"/>
      <c r="P113" s="15" t="inlineStr"/>
    </row>
    <row r="114" ht="78" customHeight="1">
      <c r="A114" s="14" t="inlineStr">
        <is>
          <t>TC-CADM-007</t>
        </is>
      </c>
      <c r="B114" s="15" t="inlineStr">
        <is>
          <t>Admin</t>
        </is>
      </c>
      <c r="C114" s="15" t="inlineStr">
        <is>
          <t>Company Roster &amp; Content</t>
        </is>
      </c>
      <c r="D114" s="21" t="inlineStr">
        <is>
          <t>Negative</t>
        </is>
      </c>
      <c r="E114" s="19" t="inlineStr">
        <is>
          <t>P1</t>
        </is>
      </c>
      <c r="F114" s="18" t="inlineStr">
        <is>
          <t>Draft profile for a nonsense company</t>
        </is>
      </c>
      <c r="G114" s="15" t="inlineStr">
        <is>
          <t>Admin logged in</t>
        </is>
      </c>
      <c r="H114" s="10" t="inlineStr">
        <is>
          <t>/admin/passport/companies</t>
        </is>
      </c>
      <c r="I114" s="15" t="inlineStr">
        <is>
          <t>1. Create a company with a made-up name
2. Draft its profile</t>
        </is>
      </c>
      <c r="J114" s="15" t="inlineStr">
        <is>
          <t>Name: Zzqqxx Technologies</t>
        </is>
      </c>
      <c r="K114" s="15" t="inlineStr">
        <is>
          <t>Either it refuses, or it produces obviously-empty content rather than confidently inventing salary bands for a company that does not exist. Invented salary data about a named employer is a serious defect.</t>
        </is>
      </c>
      <c r="L114" s="15" t="inlineStr"/>
      <c r="M114" s="15" t="inlineStr"/>
      <c r="N114" s="15" t="inlineStr"/>
      <c r="O114" s="15" t="inlineStr"/>
      <c r="P114" s="15" t="inlineStr"/>
    </row>
    <row r="115" ht="78" customHeight="1">
      <c r="A115" s="14" t="inlineStr">
        <is>
          <t>TC-CADM-008</t>
        </is>
      </c>
      <c r="B115" s="15" t="inlineStr">
        <is>
          <t>Admin</t>
        </is>
      </c>
      <c r="C115" s="15" t="inlineStr">
        <is>
          <t>Company Roster &amp; Content</t>
        </is>
      </c>
      <c r="D115" s="21" t="inlineStr">
        <is>
          <t>Negative</t>
        </is>
      </c>
      <c r="E115" s="19" t="inlineStr">
        <is>
          <t>P1</t>
        </is>
      </c>
      <c r="F115" s="18" t="inlineStr">
        <is>
          <t>Duplicate company names</t>
        </is>
      </c>
      <c r="G115" s="15" t="inlineStr">
        <is>
          <t>A company already exists</t>
        </is>
      </c>
      <c r="H115" s="10" t="inlineStr">
        <is>
          <t>/admin/passport/companies</t>
        </is>
      </c>
      <c r="I115" s="15" t="inlineStr">
        <is>
          <t>1. Paste a list containing an existing name twice</t>
        </is>
      </c>
      <c r="J115" s="15" t="inlineStr">
        <is>
          <t>TCS
TCS
Infosys</t>
        </is>
      </c>
      <c r="K115" s="15" t="inlineStr">
        <is>
          <t>No duplicates are created. Existing companies are skipped, not overwritten or lost.</t>
        </is>
      </c>
      <c r="L115" s="15" t="inlineStr"/>
      <c r="M115" s="15" t="inlineStr"/>
      <c r="N115" s="15" t="inlineStr"/>
      <c r="O115" s="15" t="inlineStr"/>
      <c r="P115" s="15" t="inlineStr"/>
    </row>
    <row r="116" ht="78" customHeight="1">
      <c r="A116" s="14" t="inlineStr">
        <is>
          <t>TC-CADM-009</t>
        </is>
      </c>
      <c r="B116" s="15" t="inlineStr">
        <is>
          <t>Admin</t>
        </is>
      </c>
      <c r="C116" s="15" t="inlineStr">
        <is>
          <t>Company Roster &amp; Content</t>
        </is>
      </c>
      <c r="D116" s="22" t="inlineStr">
        <is>
          <t>Corner</t>
        </is>
      </c>
      <c r="E116" s="17" t="inlineStr">
        <is>
          <t>P0</t>
        </is>
      </c>
      <c r="F116" s="18" t="inlineStr">
        <is>
          <t>Renaming does not break the URL</t>
        </is>
      </c>
      <c r="G116" s="15" t="inlineStr">
        <is>
          <t>A live company</t>
        </is>
      </c>
      <c r="H116" s="10" t="inlineStr">
        <is>
          <t>/admin/passport/companies</t>
        </is>
      </c>
      <c r="I116" s="15" t="inlineStr">
        <is>
          <t>1. Edit the company name
2. Save
3. Open the old student URL</t>
        </is>
      </c>
      <c r="J116" s="15" t="inlineStr">
        <is>
          <t>-</t>
        </is>
      </c>
      <c r="K116" s="15" t="inlineStr">
        <is>
          <t>The slug does NOT change — existing links keep working. This is deliberate; confirm the name updates while the URL holds.</t>
        </is>
      </c>
      <c r="L116" s="15" t="inlineStr"/>
      <c r="M116" s="15" t="inlineStr"/>
      <c r="N116" s="15" t="inlineStr"/>
      <c r="O116" s="15" t="inlineStr"/>
      <c r="P116" s="15" t="inlineStr"/>
    </row>
    <row r="117" ht="78" customHeight="1">
      <c r="A117" s="14" t="inlineStr">
        <is>
          <t>TC-CADM-010</t>
        </is>
      </c>
      <c r="B117" s="15" t="inlineStr">
        <is>
          <t>Admin</t>
        </is>
      </c>
      <c r="C117" s="15" t="inlineStr">
        <is>
          <t>Company Roster &amp; Content</t>
        </is>
      </c>
      <c r="D117" s="22" t="inlineStr">
        <is>
          <t>Corner</t>
        </is>
      </c>
      <c r="E117" s="19" t="inlineStr">
        <is>
          <t>P1</t>
        </is>
      </c>
      <c r="F117" s="18" t="inlineStr">
        <is>
          <t>Bulleted or dashed pasted list</t>
        </is>
      </c>
      <c r="G117" s="15" t="inlineStr">
        <is>
          <t>Admin logged in</t>
        </is>
      </c>
      <c r="H117" s="10" t="inlineStr">
        <is>
          <t>/admin/passport/companies → Roster</t>
        </is>
      </c>
      <c r="I117" s="15" t="inlineStr">
        <is>
          <t>1. Paste a list using dashes and bullets</t>
        </is>
      </c>
      <c r="J117" s="15" t="inlineStr">
        <is>
          <t>- Zoho
* Freshworks
• Postman</t>
        </is>
      </c>
      <c r="K117" s="15" t="inlineStr">
        <is>
          <t>Names are created as 'Zoho', 'Freshworks', 'Postman' with the markers stripped.</t>
        </is>
      </c>
      <c r="L117" s="15" t="inlineStr"/>
      <c r="M117" s="15" t="inlineStr"/>
      <c r="N117" s="15" t="inlineStr"/>
      <c r="O117" s="15" t="inlineStr"/>
      <c r="P117" s="15" t="inlineStr"/>
    </row>
    <row r="118" ht="78" customHeight="1">
      <c r="A118" s="14" t="inlineStr">
        <is>
          <t>TC-CADM-011</t>
        </is>
      </c>
      <c r="B118" s="15" t="inlineStr">
        <is>
          <t>Admin</t>
        </is>
      </c>
      <c r="C118" s="15" t="inlineStr">
        <is>
          <t>Company Roster &amp; Content</t>
        </is>
      </c>
      <c r="D118" s="22" t="inlineStr">
        <is>
          <t>Corner</t>
        </is>
      </c>
      <c r="E118" s="20" t="inlineStr">
        <is>
          <t>P2</t>
        </is>
      </c>
      <c r="F118" s="18" t="inlineStr">
        <is>
          <t>Questions survive a company edit</t>
        </is>
      </c>
      <c r="G118" s="15" t="inlineStr">
        <is>
          <t>A company with questions</t>
        </is>
      </c>
      <c r="H118" s="10" t="inlineStr">
        <is>
          <t>/admin/passport/companies</t>
        </is>
      </c>
      <c r="I118" s="15" t="inlineStr">
        <is>
          <t>1. Edit the profile, type and tips
2. Recheck the question count</t>
        </is>
      </c>
      <c r="J118" s="15" t="inlineStr">
        <is>
          <t>-</t>
        </is>
      </c>
      <c r="K118" s="15" t="inlineStr">
        <is>
          <t>The count is unchanged. Editing a profile must never detach its questions.</t>
        </is>
      </c>
      <c r="L118" s="15" t="inlineStr"/>
      <c r="M118" s="15" t="inlineStr"/>
      <c r="N118" s="15" t="inlineStr"/>
      <c r="O118" s="15" t="inlineStr"/>
      <c r="P118" s="15" t="inlineStr"/>
    </row>
    <row r="119" ht="78" customHeight="1">
      <c r="A119" s="14" t="inlineStr">
        <is>
          <t>TC-NADM-001</t>
        </is>
      </c>
      <c r="B119" s="15" t="inlineStr">
        <is>
          <t>Admin</t>
        </is>
      </c>
      <c r="C119" s="15" t="inlineStr">
        <is>
          <t>Tech News Admin</t>
        </is>
      </c>
      <c r="D119" s="16" t="inlineStr">
        <is>
          <t>Positive</t>
        </is>
      </c>
      <c r="E119" s="17" t="inlineStr">
        <is>
          <t>P0</t>
        </is>
      </c>
      <c r="F119" s="18" t="inlineStr">
        <is>
          <t>Draft an item from a URL</t>
        </is>
      </c>
      <c r="G119" s="15" t="inlineStr">
        <is>
          <t>Admin logged in</t>
        </is>
      </c>
      <c r="H119" s="10" t="inlineStr">
        <is>
          <t>/admin/passport/news</t>
        </is>
      </c>
      <c r="I119" s="15" t="inlineStr">
        <is>
          <t>1. Paste a public news URL
2. Tap Draft
3. Edit and publish</t>
        </is>
      </c>
      <c r="J119" s="15" t="inlineStr">
        <is>
          <t>Any public tech news article</t>
        </is>
      </c>
      <c r="K119" s="15" t="inlineStr">
        <is>
          <t>A sensible title and summary are drafted, remain editable, and appear in the student feed once published.</t>
        </is>
      </c>
      <c r="L119" s="15" t="inlineStr"/>
      <c r="M119" s="15" t="inlineStr"/>
      <c r="N119" s="15" t="inlineStr"/>
      <c r="O119" s="15" t="inlineStr"/>
      <c r="P119" s="15" t="inlineStr"/>
    </row>
    <row r="120" ht="78" customHeight="1">
      <c r="A120" s="14" t="inlineStr">
        <is>
          <t>TC-NADM-002</t>
        </is>
      </c>
      <c r="B120" s="15" t="inlineStr">
        <is>
          <t>Admin</t>
        </is>
      </c>
      <c r="C120" s="15" t="inlineStr">
        <is>
          <t>Tech News Admin</t>
        </is>
      </c>
      <c r="D120" s="16" t="inlineStr">
        <is>
          <t>Positive</t>
        </is>
      </c>
      <c r="E120" s="19" t="inlineStr">
        <is>
          <t>P1</t>
        </is>
      </c>
      <c r="F120" s="18" t="inlineStr">
        <is>
          <t>Unpublish an item</t>
        </is>
      </c>
      <c r="G120" s="15" t="inlineStr">
        <is>
          <t>A published item</t>
        </is>
      </c>
      <c r="H120" s="10" t="inlineStr">
        <is>
          <t>/admin/passport/news</t>
        </is>
      </c>
      <c r="I120" s="15" t="inlineStr">
        <is>
          <t>1. Unpublish it
2. Check the student feed</t>
        </is>
      </c>
      <c r="J120" s="15" t="inlineStr">
        <is>
          <t>-</t>
        </is>
      </c>
      <c r="K120" s="15" t="inlineStr">
        <is>
          <t>It disappears from the student feed immediately.</t>
        </is>
      </c>
      <c r="L120" s="15" t="inlineStr"/>
      <c r="M120" s="15" t="inlineStr"/>
      <c r="N120" s="15" t="inlineStr"/>
      <c r="O120" s="15" t="inlineStr"/>
      <c r="P120" s="15" t="inlineStr"/>
    </row>
    <row r="121" ht="78" customHeight="1">
      <c r="A121" s="14" t="inlineStr">
        <is>
          <t>TC-NADM-003</t>
        </is>
      </c>
      <c r="B121" s="15" t="inlineStr">
        <is>
          <t>Admin</t>
        </is>
      </c>
      <c r="C121" s="15" t="inlineStr">
        <is>
          <t>Tech News Admin</t>
        </is>
      </c>
      <c r="D121" s="21" t="inlineStr">
        <is>
          <t>Negative</t>
        </is>
      </c>
      <c r="E121" s="17" t="inlineStr">
        <is>
          <t>P0</t>
        </is>
      </c>
      <c r="F121" s="18" t="inlineStr">
        <is>
          <t>An internal URL is refused</t>
        </is>
      </c>
      <c r="G121" s="15" t="inlineStr">
        <is>
          <t>Admin logged in</t>
        </is>
      </c>
      <c r="H121" s="10" t="inlineStr">
        <is>
          <t>/admin/passport/news</t>
        </is>
      </c>
      <c r="I121" s="15" t="inlineStr">
        <is>
          <t>1. Paste a private or localhost address
2. Tap Draft</t>
        </is>
      </c>
      <c r="J121" s="15" t="inlineStr">
        <is>
          <t>http://localhost:5000/api/v1
http://169.254.169.254/</t>
        </is>
      </c>
      <c r="K121" s="15" t="inlineStr">
        <is>
          <t>Refused by the SSRF guard. The server must never fetch its own internal addresses on request — this is a security control, not a convenience.</t>
        </is>
      </c>
      <c r="L121" s="15" t="inlineStr"/>
      <c r="M121" s="15" t="inlineStr"/>
      <c r="N121" s="15" t="inlineStr"/>
      <c r="O121" s="15" t="inlineStr"/>
      <c r="P121" s="15" t="inlineStr"/>
    </row>
    <row r="122" ht="78" customHeight="1">
      <c r="A122" s="14" t="inlineStr">
        <is>
          <t>TC-NADM-004</t>
        </is>
      </c>
      <c r="B122" s="15" t="inlineStr">
        <is>
          <t>Admin</t>
        </is>
      </c>
      <c r="C122" s="15" t="inlineStr">
        <is>
          <t>Tech News Admin</t>
        </is>
      </c>
      <c r="D122" s="21" t="inlineStr">
        <is>
          <t>Negative</t>
        </is>
      </c>
      <c r="E122" s="19" t="inlineStr">
        <is>
          <t>P1</t>
        </is>
      </c>
      <c r="F122" s="18" t="inlineStr">
        <is>
          <t>An unreachable URL</t>
        </is>
      </c>
      <c r="G122" s="15" t="inlineStr">
        <is>
          <t>Admin logged in</t>
        </is>
      </c>
      <c r="H122" s="10" t="inlineStr">
        <is>
          <t>/admin/passport/news</t>
        </is>
      </c>
      <c r="I122" s="15" t="inlineStr">
        <is>
          <t>1. Paste a URL that 404s</t>
        </is>
      </c>
      <c r="J122" s="15" t="inlineStr">
        <is>
          <t>https://example.com/nope-404</t>
        </is>
      </c>
      <c r="K122" s="15" t="inlineStr">
        <is>
          <t>A readable failure message. The admin screen does not hang or crash.</t>
        </is>
      </c>
      <c r="L122" s="15" t="inlineStr"/>
      <c r="M122" s="15" t="inlineStr"/>
      <c r="N122" s="15" t="inlineStr"/>
      <c r="O122" s="15" t="inlineStr"/>
      <c r="P122" s="15" t="inlineStr"/>
    </row>
    <row r="123" ht="78" customHeight="1">
      <c r="A123" s="14" t="inlineStr">
        <is>
          <t>TC-NADM-005</t>
        </is>
      </c>
      <c r="B123" s="15" t="inlineStr">
        <is>
          <t>Admin</t>
        </is>
      </c>
      <c r="C123" s="15" t="inlineStr">
        <is>
          <t>Tech News Admin</t>
        </is>
      </c>
      <c r="D123" s="22" t="inlineStr">
        <is>
          <t>Corner</t>
        </is>
      </c>
      <c r="E123" s="20" t="inlineStr">
        <is>
          <t>P2</t>
        </is>
      </c>
      <c r="F123" s="18" t="inlineStr">
        <is>
          <t>Publishing without a source link</t>
        </is>
      </c>
      <c r="G123" s="15" t="inlineStr">
        <is>
          <t>Admin logged in</t>
        </is>
      </c>
      <c r="H123" s="10" t="inlineStr">
        <is>
          <t>/admin/passport/news</t>
        </is>
      </c>
      <c r="I123" s="15" t="inlineStr">
        <is>
          <t>1. Write an item by hand with no URL
2. Publish</t>
        </is>
      </c>
      <c r="J123" s="15" t="inlineStr">
        <is>
          <t>-</t>
        </is>
      </c>
      <c r="K123" s="15" t="inlineStr">
        <is>
          <t>It publishes and the student view renders correctly without a broken or empty link.</t>
        </is>
      </c>
      <c r="L123" s="15" t="inlineStr"/>
      <c r="M123" s="15" t="inlineStr"/>
      <c r="N123" s="15" t="inlineStr"/>
      <c r="O123" s="15" t="inlineStr"/>
      <c r="P123" s="15" t="inlineStr"/>
    </row>
    <row r="124" ht="78" customHeight="1">
      <c r="A124" s="14" t="inlineStr">
        <is>
          <t>TC-CIADM-001</t>
        </is>
      </c>
      <c r="B124" s="15" t="inlineStr">
        <is>
          <t>Admin</t>
        </is>
      </c>
      <c r="C124" s="15" t="inlineStr">
        <is>
          <t>Coins Admin</t>
        </is>
      </c>
      <c r="D124" s="16" t="inlineStr">
        <is>
          <t>Positive</t>
        </is>
      </c>
      <c r="E124" s="17" t="inlineStr">
        <is>
          <t>P0</t>
        </is>
      </c>
      <c r="F124" s="18" t="inlineStr">
        <is>
          <t>Change an earning rule</t>
        </is>
      </c>
      <c r="G124" s="15" t="inlineStr">
        <is>
          <t>Admin logged in</t>
        </is>
      </c>
      <c r="H124" s="10" t="inlineStr">
        <is>
          <t>/admin/passport/coins</t>
        </is>
      </c>
      <c r="I124" s="15" t="inlineStr">
        <is>
          <t>1. Change the coins awarded for one event
2. Save
3. Trigger it as a member</t>
        </is>
      </c>
      <c r="J124" s="15" t="inlineStr">
        <is>
          <t>-</t>
        </is>
      </c>
      <c r="K124" s="15" t="inlineStr">
        <is>
          <t>The new amount is credited. No deploy is needed — every coin number is data.</t>
        </is>
      </c>
      <c r="L124" s="15" t="inlineStr"/>
      <c r="M124" s="15" t="inlineStr"/>
      <c r="N124" s="15" t="inlineStr"/>
      <c r="O124" s="15" t="inlineStr"/>
      <c r="P124" s="15" t="inlineStr"/>
    </row>
    <row r="125" ht="78" customHeight="1">
      <c r="A125" s="14" t="inlineStr">
        <is>
          <t>TC-CIADM-002</t>
        </is>
      </c>
      <c r="B125" s="15" t="inlineStr">
        <is>
          <t>Admin</t>
        </is>
      </c>
      <c r="C125" s="15" t="inlineStr">
        <is>
          <t>Coins Admin</t>
        </is>
      </c>
      <c r="D125" s="16" t="inlineStr">
        <is>
          <t>Positive</t>
        </is>
      </c>
      <c r="E125" s="19" t="inlineStr">
        <is>
          <t>P1</t>
        </is>
      </c>
      <c r="F125" s="18" t="inlineStr">
        <is>
          <t>Change a daily cap</t>
        </is>
      </c>
      <c r="G125" s="15" t="inlineStr">
        <is>
          <t>Admin logged in</t>
        </is>
      </c>
      <c r="H125" s="10" t="inlineStr">
        <is>
          <t>/admin/passport/coins</t>
        </is>
      </c>
      <c r="I125" s="15" t="inlineStr">
        <is>
          <t>1. Lower a cap to 1
2. As a member, do the activity twice</t>
        </is>
      </c>
      <c r="J125" s="15" t="inlineStr">
        <is>
          <t>-</t>
        </is>
      </c>
      <c r="K125" s="15" t="inlineStr">
        <is>
          <t>Only the first is credited.</t>
        </is>
      </c>
      <c r="L125" s="15" t="inlineStr"/>
      <c r="M125" s="15" t="inlineStr"/>
      <c r="N125" s="15" t="inlineStr"/>
      <c r="O125" s="15" t="inlineStr"/>
      <c r="P125" s="15" t="inlineStr"/>
    </row>
    <row r="126" ht="78" customHeight="1">
      <c r="A126" s="14" t="inlineStr">
        <is>
          <t>TC-CIADM-003</t>
        </is>
      </c>
      <c r="B126" s="15" t="inlineStr">
        <is>
          <t>Admin</t>
        </is>
      </c>
      <c r="C126" s="15" t="inlineStr">
        <is>
          <t>Coins Admin</t>
        </is>
      </c>
      <c r="D126" s="16" t="inlineStr">
        <is>
          <t>Positive</t>
        </is>
      </c>
      <c r="E126" s="20" t="inlineStr">
        <is>
          <t>P2</t>
        </is>
      </c>
      <c r="F126" s="18" t="inlineStr">
        <is>
          <t>Read the ledger</t>
        </is>
      </c>
      <c r="G126" s="15" t="inlineStr">
        <is>
          <t>Members have earned coins</t>
        </is>
      </c>
      <c r="H126" s="10" t="inlineStr">
        <is>
          <t>/admin/passport/coins → Ledger</t>
        </is>
      </c>
      <c r="I126" s="15" t="inlineStr">
        <is>
          <t>1. Open the ledger and filter by member</t>
        </is>
      </c>
      <c r="J126" s="15" t="inlineStr">
        <is>
          <t>-</t>
        </is>
      </c>
      <c r="K126" s="15" t="inlineStr">
        <is>
          <t>Every credit is listed with its reason and time. The ledger is the audit trail.</t>
        </is>
      </c>
      <c r="L126" s="15" t="inlineStr"/>
      <c r="M126" s="15" t="inlineStr"/>
      <c r="N126" s="15" t="inlineStr"/>
      <c r="O126" s="15" t="inlineStr"/>
      <c r="P126" s="15" t="inlineStr"/>
    </row>
    <row r="127" ht="78" customHeight="1">
      <c r="A127" s="14" t="inlineStr">
        <is>
          <t>TC-CIADM-004</t>
        </is>
      </c>
      <c r="B127" s="15" t="inlineStr">
        <is>
          <t>Admin</t>
        </is>
      </c>
      <c r="C127" s="15" t="inlineStr">
        <is>
          <t>Coins Admin</t>
        </is>
      </c>
      <c r="D127" s="21" t="inlineStr">
        <is>
          <t>Negative</t>
        </is>
      </c>
      <c r="E127" s="19" t="inlineStr">
        <is>
          <t>P1</t>
        </is>
      </c>
      <c r="F127" s="18" t="inlineStr">
        <is>
          <t>Negative or absurd values</t>
        </is>
      </c>
      <c r="G127" s="15" t="inlineStr">
        <is>
          <t>Admin logged in</t>
        </is>
      </c>
      <c r="H127" s="10" t="inlineStr">
        <is>
          <t>/admin/passport/coins</t>
        </is>
      </c>
      <c r="I127" s="15" t="inlineStr">
        <is>
          <t>1. Set an award to -50 and a cap to -1
2. Save</t>
        </is>
      </c>
      <c r="J127" s="15" t="inlineStr">
        <is>
          <t>-50 / -1</t>
        </is>
      </c>
      <c r="K127" s="15" t="inlineStr">
        <is>
          <t>Refused. A negative award would silently drain balances.</t>
        </is>
      </c>
      <c r="L127" s="15" t="inlineStr"/>
      <c r="M127" s="15" t="inlineStr"/>
      <c r="N127" s="15" t="inlineStr"/>
      <c r="O127" s="15" t="inlineStr"/>
      <c r="P127" s="15" t="inlineStr"/>
    </row>
    <row r="128" ht="78" customHeight="1">
      <c r="A128" s="14" t="inlineStr">
        <is>
          <t>TC-CIADM-005</t>
        </is>
      </c>
      <c r="B128" s="15" t="inlineStr">
        <is>
          <t>Admin</t>
        </is>
      </c>
      <c r="C128" s="15" t="inlineStr">
        <is>
          <t>Coins Admin</t>
        </is>
      </c>
      <c r="D128" s="22" t="inlineStr">
        <is>
          <t>Corner</t>
        </is>
      </c>
      <c r="E128" s="20" t="inlineStr">
        <is>
          <t>P2</t>
        </is>
      </c>
      <c r="F128" s="18" t="inlineStr">
        <is>
          <t>No redemption management exists</t>
        </is>
      </c>
      <c r="G128" s="15" t="inlineStr">
        <is>
          <t>Admin logged in</t>
        </is>
      </c>
      <c r="H128" s="10" t="inlineStr">
        <is>
          <t>/admin/passport/coins</t>
        </is>
      </c>
      <c r="I128" s="15" t="inlineStr">
        <is>
          <t>1. Look for a rewards catalogue or redemption approvals</t>
        </is>
      </c>
      <c r="J128" s="15" t="inlineStr">
        <is>
          <t>-</t>
        </is>
      </c>
      <c r="K128" s="15" t="inlineStr">
        <is>
          <t>EXPECTED TODAY: none. Confirm nothing in the admin UI implies redemption exists. Raise anything that does.</t>
        </is>
      </c>
      <c r="L128" s="15" t="inlineStr"/>
      <c r="M128" s="15" t="inlineStr"/>
      <c r="N128" s="15" t="inlineStr"/>
      <c r="O128" s="15" t="inlineStr"/>
      <c r="P128" s="15" t="inlineStr"/>
    </row>
    <row r="129" ht="78" customHeight="1">
      <c r="A129" s="14" t="inlineStr">
        <is>
          <t>TC-STG-001</t>
        </is>
      </c>
      <c r="B129" s="15" t="inlineStr">
        <is>
          <t>Admin</t>
        </is>
      </c>
      <c r="C129" s="15" t="inlineStr">
        <is>
          <t>Staging Board</t>
        </is>
      </c>
      <c r="D129" s="16" t="inlineStr">
        <is>
          <t>Positive</t>
        </is>
      </c>
      <c r="E129" s="19" t="inlineStr">
        <is>
          <t>P1</t>
        </is>
      </c>
      <c r="F129" s="18" t="inlineStr">
        <is>
          <t>Move a member between stages</t>
        </is>
      </c>
      <c r="G129" s="15" t="inlineStr">
        <is>
          <t>A member exists</t>
        </is>
      </c>
      <c r="H129" s="10" t="inlineStr">
        <is>
          <t>/admin/careerpilot/staging</t>
        </is>
      </c>
      <c r="I129" s="15" t="inlineStr">
        <is>
          <t>1. Move a member to a different stage
2. Save
3. Open that member's dashboard</t>
        </is>
      </c>
      <c r="J129" s="15" t="inlineStr">
        <is>
          <t>-</t>
        </is>
      </c>
      <c r="K129" s="15" t="inlineStr">
        <is>
          <t>The member's stage-driven content changes accordingly.</t>
        </is>
      </c>
      <c r="L129" s="15" t="inlineStr"/>
      <c r="M129" s="15" t="inlineStr"/>
      <c r="N129" s="15" t="inlineStr"/>
      <c r="O129" s="15" t="inlineStr"/>
      <c r="P129" s="15" t="inlineStr"/>
    </row>
    <row r="130" ht="78" customHeight="1">
      <c r="A130" s="14" t="inlineStr">
        <is>
          <t>TC-STG-002</t>
        </is>
      </c>
      <c r="B130" s="15" t="inlineStr">
        <is>
          <t>Admin</t>
        </is>
      </c>
      <c r="C130" s="15" t="inlineStr">
        <is>
          <t>Staging Board</t>
        </is>
      </c>
      <c r="D130" s="21" t="inlineStr">
        <is>
          <t>Negative</t>
        </is>
      </c>
      <c r="E130" s="20" t="inlineStr">
        <is>
          <t>P2</t>
        </is>
      </c>
      <c r="F130" s="18" t="inlineStr">
        <is>
          <t>Move to an invalid stage</t>
        </is>
      </c>
      <c r="G130" s="15" t="inlineStr">
        <is>
          <t>Admin logged in</t>
        </is>
      </c>
      <c r="H130" s="10" t="inlineStr">
        <is>
          <t>/admin/careerpilot/staging</t>
        </is>
      </c>
      <c r="I130" s="15" t="inlineStr">
        <is>
          <t>1. Attempt an out-of-sequence or unknown stage</t>
        </is>
      </c>
      <c r="J130" s="15" t="inlineStr">
        <is>
          <t>-</t>
        </is>
      </c>
      <c r="K130" s="15" t="inlineStr">
        <is>
          <t>Refused or handled explicitly, with the member's data left consistent.</t>
        </is>
      </c>
      <c r="L130" s="15" t="inlineStr"/>
      <c r="M130" s="15" t="inlineStr"/>
      <c r="N130" s="15" t="inlineStr"/>
      <c r="O130" s="15" t="inlineStr"/>
      <c r="P130" s="15" t="inlineStr"/>
    </row>
    <row r="131" ht="78" customHeight="1">
      <c r="A131" s="14" t="inlineStr">
        <is>
          <t>TC-SEC-001</t>
        </is>
      </c>
      <c r="B131" s="15" t="inlineStr">
        <is>
          <t>Both</t>
        </is>
      </c>
      <c r="C131" s="15" t="inlineStr">
        <is>
          <t>Cross-cutting — Access &amp; Security</t>
        </is>
      </c>
      <c r="D131" s="21" t="inlineStr">
        <is>
          <t>Negative</t>
        </is>
      </c>
      <c r="E131" s="17" t="inlineStr">
        <is>
          <t>P0</t>
        </is>
      </c>
      <c r="F131" s="18" t="inlineStr">
        <is>
          <t>Student URLs refuse an anonymous visitor</t>
        </is>
      </c>
      <c r="G131" s="15" t="inlineStr">
        <is>
          <t>Logged out</t>
        </is>
      </c>
      <c r="H131" s="10" t="inlineStr">
        <is>
          <t>Any /careerpilot/* route</t>
        </is>
      </c>
      <c r="I131" s="15" t="inlineStr">
        <is>
          <t>1. Log out
2. Paste each member URL directly</t>
        </is>
      </c>
      <c r="J131" s="15" t="inlineStr">
        <is>
          <t>/careerpilot/roadmap, /practice, /resume, /interview, /companies, /coins</t>
        </is>
      </c>
      <c r="K131" s="15" t="inlineStr">
        <is>
          <t>Every one redirects to login. None renders member data, even briefly.</t>
        </is>
      </c>
      <c r="L131" s="15" t="inlineStr"/>
      <c r="M131" s="15" t="inlineStr"/>
      <c r="N131" s="15" t="inlineStr"/>
      <c r="O131" s="15" t="inlineStr"/>
      <c r="P131" s="15" t="inlineStr"/>
    </row>
    <row r="132" ht="78" customHeight="1">
      <c r="A132" s="14" t="inlineStr">
        <is>
          <t>TC-SEC-002</t>
        </is>
      </c>
      <c r="B132" s="15" t="inlineStr">
        <is>
          <t>Both</t>
        </is>
      </c>
      <c r="C132" s="15" t="inlineStr">
        <is>
          <t>Cross-cutting — Access &amp; Security</t>
        </is>
      </c>
      <c r="D132" s="21" t="inlineStr">
        <is>
          <t>Negative</t>
        </is>
      </c>
      <c r="E132" s="17" t="inlineStr">
        <is>
          <t>P0</t>
        </is>
      </c>
      <c r="F132" s="18" t="inlineStr">
        <is>
          <t>Admin URLs refuse a student</t>
        </is>
      </c>
      <c r="G132" s="15" t="inlineStr">
        <is>
          <t>Logged in as a student</t>
        </is>
      </c>
      <c r="H132" s="10" t="inlineStr">
        <is>
          <t>Any /admin/* route</t>
        </is>
      </c>
      <c r="I132" s="15" t="inlineStr">
        <is>
          <t>1. Paste each admin URL directly</t>
        </is>
      </c>
      <c r="J132" s="15" t="inlineStr">
        <is>
          <t>/admin/passport/config, /students, /companies, /coins</t>
        </is>
      </c>
      <c r="K132" s="15" t="inlineStr">
        <is>
          <t>Access is refused. A student must never reach an admin screen or its data.</t>
        </is>
      </c>
      <c r="L132" s="15" t="inlineStr"/>
      <c r="M132" s="15" t="inlineStr"/>
      <c r="N132" s="15" t="inlineStr"/>
      <c r="O132" s="15" t="inlineStr"/>
      <c r="P132" s="15" t="inlineStr"/>
    </row>
    <row r="133" ht="78" customHeight="1">
      <c r="A133" s="14" t="inlineStr">
        <is>
          <t>TC-SEC-003</t>
        </is>
      </c>
      <c r="B133" s="15" t="inlineStr">
        <is>
          <t>Both</t>
        </is>
      </c>
      <c r="C133" s="15" t="inlineStr">
        <is>
          <t>Cross-cutting — Access &amp; Security</t>
        </is>
      </c>
      <c r="D133" s="21" t="inlineStr">
        <is>
          <t>Negative</t>
        </is>
      </c>
      <c r="E133" s="17" t="inlineStr">
        <is>
          <t>P0</t>
        </is>
      </c>
      <c r="F133" s="18" t="inlineStr">
        <is>
          <t>One member cannot read another's data</t>
        </is>
      </c>
      <c r="G133" s="15" t="inlineStr">
        <is>
          <t>Two members exist</t>
        </is>
      </c>
      <c r="H133" s="10" t="inlineStr">
        <is>
          <t>Dev tools</t>
        </is>
      </c>
      <c r="I133" s="15" t="inlineStr">
        <is>
          <t>1. As member A, call a detail endpoint using member B's id</t>
        </is>
      </c>
      <c r="J133" s="15" t="inlineStr">
        <is>
          <t>Another member's interview or mock-test id</t>
        </is>
      </c>
      <c r="K133" s="15" t="inlineStr">
        <is>
          <t>Refused. Every read must be scoped to the calling member.</t>
        </is>
      </c>
      <c r="L133" s="15" t="inlineStr"/>
      <c r="M133" s="15" t="inlineStr"/>
      <c r="N133" s="15" t="inlineStr"/>
      <c r="O133" s="15" t="inlineStr"/>
      <c r="P133" s="15" t="inlineStr"/>
    </row>
    <row r="134" ht="78" customHeight="1">
      <c r="A134" s="14" t="inlineStr">
        <is>
          <t>TC-SEC-004</t>
        </is>
      </c>
      <c r="B134" s="15" t="inlineStr">
        <is>
          <t>Both</t>
        </is>
      </c>
      <c r="C134" s="15" t="inlineStr">
        <is>
          <t>Cross-cutting — Access &amp; Security</t>
        </is>
      </c>
      <c r="D134" s="22" t="inlineStr">
        <is>
          <t>Corner</t>
        </is>
      </c>
      <c r="E134" s="19" t="inlineStr">
        <is>
          <t>P1</t>
        </is>
      </c>
      <c r="F134" s="18" t="inlineStr">
        <is>
          <t>Session expiry mid-task</t>
        </is>
      </c>
      <c r="G134" s="15" t="inlineStr">
        <is>
          <t>Paid member</t>
        </is>
      </c>
      <c r="H134" s="10" t="inlineStr">
        <is>
          <t>Any long task</t>
        </is>
      </c>
      <c r="I134" s="15" t="inlineStr">
        <is>
          <t>1. Start a mock test or interview
2. Leave it until the token expires
3. Continue</t>
        </is>
      </c>
      <c r="J134" s="15" t="inlineStr">
        <is>
          <t>-</t>
        </is>
      </c>
      <c r="K134" s="15" t="inlineStr">
        <is>
          <t>The member is asked to log in again cleanly and work already saved is preserved. No blank screen and no silent data loss.</t>
        </is>
      </c>
      <c r="L134" s="15" t="inlineStr"/>
      <c r="M134" s="15" t="inlineStr"/>
      <c r="N134" s="15" t="inlineStr"/>
      <c r="O134" s="15" t="inlineStr"/>
      <c r="P134" s="15" t="inlineStr"/>
    </row>
    <row r="135" ht="78" customHeight="1">
      <c r="A135" s="14" t="inlineStr">
        <is>
          <t>TC-SEC-005</t>
        </is>
      </c>
      <c r="B135" s="15" t="inlineStr">
        <is>
          <t>Both</t>
        </is>
      </c>
      <c r="C135" s="15" t="inlineStr">
        <is>
          <t>Cross-cutting — Access &amp; Security</t>
        </is>
      </c>
      <c r="D135" s="22" t="inlineStr">
        <is>
          <t>Corner</t>
        </is>
      </c>
      <c r="E135" s="19" t="inlineStr">
        <is>
          <t>P1</t>
        </is>
      </c>
      <c r="F135" s="18" t="inlineStr">
        <is>
          <t>Exam guards during a mock test</t>
        </is>
      </c>
      <c r="G135" s="15" t="inlineStr">
        <is>
          <t>Test in progress</t>
        </is>
      </c>
      <c r="H135" s="10" t="inlineStr">
        <is>
          <t>/careerpilot/mock-test/:id</t>
        </is>
      </c>
      <c r="I135" s="15" t="inlineStr">
        <is>
          <t>1. Try to select question text and copy it
2. Try to paste into the page
3. Try right-click</t>
        </is>
      </c>
      <c r="J135" s="15" t="inlineStr">
        <is>
          <t>-</t>
        </is>
      </c>
      <c r="K135" s="15" t="inlineStr">
        <is>
          <t>Selection and copy of question text are blocked and pasting is prevented. These guards exist to control cheating — verify they hold on both desktop and mobile.</t>
        </is>
      </c>
      <c r="L135" s="15" t="inlineStr"/>
      <c r="M135" s="15" t="inlineStr"/>
      <c r="N135" s="15" t="inlineStr"/>
      <c r="O135" s="15" t="inlineStr"/>
      <c r="P135" s="15" t="inlineStr"/>
    </row>
    <row r="136" ht="78" customHeight="1">
      <c r="A136" s="14" t="inlineStr">
        <is>
          <t>TC-MOB-001</t>
        </is>
      </c>
      <c r="B136" s="15" t="inlineStr">
        <is>
          <t>Both</t>
        </is>
      </c>
      <c r="C136" s="15" t="inlineStr">
        <is>
          <t>Cross-cutting — Mobile</t>
        </is>
      </c>
      <c r="D136" s="16" t="inlineStr">
        <is>
          <t>Positive</t>
        </is>
      </c>
      <c r="E136" s="17" t="inlineStr">
        <is>
          <t>P0</t>
        </is>
      </c>
      <c r="F136" s="18" t="inlineStr">
        <is>
          <t>Full student journey on a phone</t>
        </is>
      </c>
      <c r="G136" s="15" t="inlineStr">
        <is>
          <t>A real Android phone</t>
        </is>
      </c>
      <c r="H136" s="10" t="inlineStr">
        <is>
          <t>All student routes</t>
        </is>
      </c>
      <c r="I136" s="15" t="inlineStr">
        <is>
          <t>1. Join, assess, read the roadmap, practise, run a mock test and a mock interview — all on the phone</t>
        </is>
      </c>
      <c r="J136" s="15" t="inlineStr">
        <is>
          <t>Chrome on Android, 360px wide</t>
        </is>
      </c>
      <c r="K136" s="15" t="inlineStr">
        <is>
          <t>Every screen is usable. Nothing overflows sideways, no control is unreachable, and the page body never scrolls horizontally.</t>
        </is>
      </c>
      <c r="L136" s="15" t="inlineStr"/>
      <c r="M136" s="15" t="inlineStr"/>
      <c r="N136" s="15" t="inlineStr"/>
      <c r="O136" s="15" t="inlineStr"/>
      <c r="P136" s="15" t="inlineStr"/>
    </row>
    <row r="137" ht="78" customHeight="1">
      <c r="A137" s="14" t="inlineStr">
        <is>
          <t>TC-MOB-002</t>
        </is>
      </c>
      <c r="B137" s="15" t="inlineStr">
        <is>
          <t>Both</t>
        </is>
      </c>
      <c r="C137" s="15" t="inlineStr">
        <is>
          <t>Cross-cutting — Mobile</t>
        </is>
      </c>
      <c r="D137" s="16" t="inlineStr">
        <is>
          <t>Positive</t>
        </is>
      </c>
      <c r="E137" s="19" t="inlineStr">
        <is>
          <t>P1</t>
        </is>
      </c>
      <c r="F137" s="18" t="inlineStr">
        <is>
          <t>Mock test on a small screen</t>
        </is>
      </c>
      <c r="G137" s="15" t="inlineStr">
        <is>
          <t>Live company, phone</t>
        </is>
      </c>
      <c r="H137" s="10" t="inlineStr">
        <is>
          <t>/careerpilot/mock-test/:id</t>
        </is>
      </c>
      <c r="I137" s="15" t="inlineStr">
        <is>
          <t>1. Sit a full test on a phone</t>
        </is>
      </c>
      <c r="J137" s="15" t="inlineStr">
        <is>
          <t>-</t>
        </is>
      </c>
      <c r="K137" s="15" t="inlineStr">
        <is>
          <t>The question palette, the clock and Submit are all reachable without zooming. The clock stays visible while scrolling.</t>
        </is>
      </c>
      <c r="L137" s="15" t="inlineStr"/>
      <c r="M137" s="15" t="inlineStr"/>
      <c r="N137" s="15" t="inlineStr"/>
      <c r="O137" s="15" t="inlineStr"/>
      <c r="P137" s="15" t="inlineStr"/>
    </row>
    <row r="138" ht="78" customHeight="1">
      <c r="A138" s="14" t="inlineStr">
        <is>
          <t>TC-MOB-003</t>
        </is>
      </c>
      <c r="B138" s="15" t="inlineStr">
        <is>
          <t>Both</t>
        </is>
      </c>
      <c r="C138" s="15" t="inlineStr">
        <is>
          <t>Cross-cutting — Mobile</t>
        </is>
      </c>
      <c r="D138" s="22" t="inlineStr">
        <is>
          <t>Corner</t>
        </is>
      </c>
      <c r="E138" s="19" t="inlineStr">
        <is>
          <t>P1</t>
        </is>
      </c>
      <c r="F138" s="18" t="inlineStr">
        <is>
          <t>Rotating the device mid-test</t>
        </is>
      </c>
      <c r="G138" s="15" t="inlineStr">
        <is>
          <t>Test in progress on a phone</t>
        </is>
      </c>
      <c r="H138" s="10" t="inlineStr">
        <is>
          <t>/careerpilot/mock-test/:id</t>
        </is>
      </c>
      <c r="I138" s="15" t="inlineStr">
        <is>
          <t>1. Rotate to landscape and back</t>
        </is>
      </c>
      <c r="J138" s="15" t="inlineStr">
        <is>
          <t>-</t>
        </is>
      </c>
      <c r="K138" s="15" t="inlineStr">
        <is>
          <t>Answers and remaining time are unaffected and the layout reflows cleanly.</t>
        </is>
      </c>
      <c r="L138" s="15" t="inlineStr"/>
      <c r="M138" s="15" t="inlineStr"/>
      <c r="N138" s="15" t="inlineStr"/>
      <c r="O138" s="15" t="inlineStr"/>
      <c r="P138" s="15" t="inlineStr"/>
    </row>
    <row r="139" ht="78" customHeight="1">
      <c r="A139" s="14" t="inlineStr">
        <is>
          <t>TC-MOB-004</t>
        </is>
      </c>
      <c r="B139" s="15" t="inlineStr">
        <is>
          <t>Both</t>
        </is>
      </c>
      <c r="C139" s="15" t="inlineStr">
        <is>
          <t>Cross-cutting — Mobile</t>
        </is>
      </c>
      <c r="D139" s="22" t="inlineStr">
        <is>
          <t>Corner</t>
        </is>
      </c>
      <c r="E139" s="20" t="inlineStr">
        <is>
          <t>P2</t>
        </is>
      </c>
      <c r="F139" s="18" t="inlineStr">
        <is>
          <t>Mock interview on mobile data</t>
        </is>
      </c>
      <c r="G139" s="15" t="inlineStr">
        <is>
          <t>Paid member on 4G</t>
        </is>
      </c>
      <c r="H139" s="10" t="inlineStr">
        <is>
          <t>/careerpilot/interview</t>
        </is>
      </c>
      <c r="I139" s="15" t="inlineStr">
        <is>
          <t>1. Run a full interview on mobile data, not wifi</t>
        </is>
      </c>
      <c r="J139" s="15" t="inlineStr">
        <is>
          <t>-</t>
        </is>
      </c>
      <c r="K139" s="15" t="inlineStr">
        <is>
          <t>Audio plays and answers upload. Slow networks degrade gracefully rather than hanging.</t>
        </is>
      </c>
      <c r="L139" s="15" t="inlineStr"/>
      <c r="M139" s="15" t="inlineStr"/>
      <c r="N139" s="15" t="inlineStr"/>
      <c r="O139" s="15" t="inlineStr"/>
      <c r="P139" s="15" t="inlineStr"/>
    </row>
  </sheetData>
  <autoFilter ref="A1:P139"/>
  <dataValidations count="1">
    <dataValidation sqref="M2:M139" showDropDown="0" showInputMessage="0" showErrorMessage="0" allowBlank="1" type="list">
      <formula1>"Pass,Fail,Blocked,Not Run"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0" customWidth="1" min="3" max="3"/>
    <col width="42" customWidth="1" min="4" max="4"/>
    <col width="46" customWidth="1" min="5" max="5"/>
    <col width="36" customWidth="1" min="6" max="6"/>
    <col width="36" customWidth="1" min="7" max="7"/>
    <col width="10" customWidth="1" min="8" max="8"/>
    <col width="12" customWidth="1" min="9" max="9"/>
    <col width="13" customWidth="1" min="10" max="10"/>
    <col width="11" customWidth="1" min="11" max="11"/>
    <col width="30" customWidth="1" min="12" max="12"/>
  </cols>
  <sheetData>
    <row r="1" ht="30" customHeight="1">
      <c r="A1" s="7" t="inlineStr">
        <is>
          <t>Defect ID</t>
        </is>
      </c>
      <c r="B1" s="7" t="inlineStr">
        <is>
          <t>Test Case ID</t>
        </is>
      </c>
      <c r="C1" s="7" t="inlineStr">
        <is>
          <t>Module</t>
        </is>
      </c>
      <c r="D1" s="7" t="inlineStr">
        <is>
          <t>Summary</t>
        </is>
      </c>
      <c r="E1" s="7" t="inlineStr">
        <is>
          <t>Steps to Reproduce</t>
        </is>
      </c>
      <c r="F1" s="7" t="inlineStr">
        <is>
          <t>Expected</t>
        </is>
      </c>
      <c r="G1" s="7" t="inlineStr">
        <is>
          <t>Actual</t>
        </is>
      </c>
      <c r="H1" s="7" t="inlineStr">
        <is>
          <t>Severity</t>
        </is>
      </c>
      <c r="I1" s="7" t="inlineStr">
        <is>
          <t>Status</t>
        </is>
      </c>
      <c r="J1" s="7" t="inlineStr">
        <is>
          <t>Raised By</t>
        </is>
      </c>
      <c r="K1" s="7" t="inlineStr">
        <is>
          <t>Date</t>
        </is>
      </c>
      <c r="L1" s="7" t="inlineStr">
        <is>
          <t>Notes</t>
        </is>
      </c>
    </row>
    <row r="2" ht="56" customHeight="1">
      <c r="A2" s="14" t="inlineStr">
        <is>
          <t>DEF-001</t>
        </is>
      </c>
      <c r="B2" s="15" t="inlineStr">
        <is>
          <t>TC-MEM-002</t>
        </is>
      </c>
      <c r="C2" s="15" t="inlineStr">
        <is>
          <t>Student</t>
        </is>
      </c>
      <c r="D2" s="15" t="inlineStr">
        <is>
          <t>Membership price is ₹499 in production, not ₹1,599</t>
        </is>
      </c>
      <c r="E2" s="15" t="inlineStr">
        <is>
          <t>Open any locked feature as a free member and read the price on the prompt.</t>
        </is>
      </c>
      <c r="F2" s="15" t="inlineStr">
        <is>
          <t>₹1,599 everywhere</t>
        </is>
      </c>
      <c r="G2" s="15" t="inlineStr">
        <is>
          <t>₹499 — passportconfigs.priceInr is 499</t>
        </is>
      </c>
      <c r="H2" s="23" t="inlineStr">
        <is>
          <t>Critical</t>
        </is>
      </c>
      <c r="I2" s="15" t="inlineStr">
        <is>
          <t>Open</t>
        </is>
      </c>
      <c r="J2" s="15" t="inlineStr">
        <is>
          <t>Audit</t>
        </is>
      </c>
      <c r="K2" s="15" t="inlineStr">
        <is>
          <t>12-Aug-2026</t>
        </is>
      </c>
      <c r="L2" s="15" t="inlineStr">
        <is>
          <t>Config only, no code change. Fix before any demo.</t>
        </is>
      </c>
    </row>
    <row r="3" ht="56" customHeight="1">
      <c r="A3" s="14" t="inlineStr">
        <is>
          <t>DEF-002</t>
        </is>
      </c>
      <c r="B3" s="15" t="inlineStr">
        <is>
          <t>TC-INT-006</t>
        </is>
      </c>
      <c r="C3" s="15" t="inlineStr">
        <is>
          <t>Student</t>
        </is>
      </c>
      <c r="D3" s="15" t="inlineStr">
        <is>
          <t>No 12-per-year cap on mock interviews</t>
        </is>
      </c>
      <c r="E3" s="15" t="inlineStr">
        <is>
          <t>As a paid member, run interviews repeatedly. No limit is applied.</t>
        </is>
      </c>
      <c r="F3" s="15" t="inlineStr">
        <is>
          <t>13th attempt refused</t>
        </is>
      </c>
      <c r="G3" s="15" t="inlineStr">
        <is>
          <t>Unlimited interviews allowed</t>
        </is>
      </c>
      <c r="H3" s="23" t="inlineStr">
        <is>
          <t>Critical</t>
        </is>
      </c>
      <c r="I3" s="15" t="inlineStr">
        <is>
          <t>Open</t>
        </is>
      </c>
      <c r="J3" s="15" t="inlineStr">
        <is>
          <t>Audit</t>
        </is>
      </c>
      <c r="K3" s="15" t="inlineStr">
        <is>
          <t>12-Aug-2026</t>
        </is>
      </c>
      <c r="L3" s="15" t="inlineStr">
        <is>
          <t>Uncapped AI cost at ~₹2.42 per interview.</t>
        </is>
      </c>
    </row>
    <row r="4" ht="56" customHeight="1">
      <c r="A4" s="14" t="inlineStr">
        <is>
          <t>DEF-003</t>
        </is>
      </c>
      <c r="B4" s="15" t="inlineStr">
        <is>
          <t>TC-CON-004</t>
        </is>
      </c>
      <c r="C4" s="15" t="inlineStr">
        <is>
          <t>Student</t>
        </is>
      </c>
      <c r="D4" s="15" t="inlineStr">
        <is>
          <t>Coins can be earned but never spent</t>
        </is>
      </c>
      <c r="E4" s="15" t="inlineStr">
        <is>
          <t>Earn coins, then look for any redemption path.</t>
        </is>
      </c>
      <c r="F4" s="15" t="inlineStr">
        <is>
          <t>A catalogue or redemption flow</t>
        </is>
      </c>
      <c r="G4" s="15" t="inlineStr">
        <is>
          <t>No spend path exists anywhere</t>
        </is>
      </c>
      <c r="H4" s="23" t="inlineStr">
        <is>
          <t>Major</t>
        </is>
      </c>
      <c r="I4" s="15" t="inlineStr">
        <is>
          <t>Open</t>
        </is>
      </c>
      <c r="J4" s="15" t="inlineStr">
        <is>
          <t>Audit</t>
        </is>
      </c>
      <c r="K4" s="15" t="inlineStr">
        <is>
          <t>12-Aug-2026</t>
        </is>
      </c>
      <c r="L4" s="15" t="inlineStr">
        <is>
          <t>No spendCoins function and no redeem endpoint.</t>
        </is>
      </c>
    </row>
    <row r="5" ht="56" customHeight="1">
      <c r="A5" s="14" t="inlineStr">
        <is>
          <t>DEF-004</t>
        </is>
      </c>
      <c r="B5" s="15" t="inlineStr">
        <is>
          <t>TC-CFG-004</t>
        </is>
      </c>
      <c r="C5" s="15" t="inlineStr">
        <is>
          <t>Admin</t>
        </is>
      </c>
      <c r="D5" s="15" t="inlineStr">
        <is>
          <t>Entitlements config holds 9 of 11 features</t>
        </is>
      </c>
      <c r="E5" s="15" t="inlineStr">
        <is>
          <t>Open /admin/passport/config and count the rows.</t>
        </is>
      </c>
      <c r="F5" s="15" t="inlineStr">
        <is>
          <t>11 rows including Tech News and Company Questions</t>
        </is>
      </c>
      <c r="G5" s="15" t="inlineStr">
        <is>
          <t>9 rows — the two newest are absent</t>
        </is>
      </c>
      <c r="H5" s="23" t="inlineStr">
        <is>
          <t>Major</t>
        </is>
      </c>
      <c r="I5" s="15" t="inlineStr">
        <is>
          <t>Open</t>
        </is>
      </c>
      <c r="J5" s="15" t="inlineStr">
        <is>
          <t>Audit</t>
        </is>
      </c>
      <c r="K5" s="15" t="inlineStr">
        <is>
          <t>12-Aug-2026</t>
        </is>
      </c>
      <c r="L5" s="15" t="inlineStr">
        <is>
          <t>Defaults apply only at document creation.</t>
        </is>
      </c>
    </row>
    <row r="6" ht="56" customHeight="1">
      <c r="A6" s="14" t="inlineStr">
        <is>
          <t>DEF-005</t>
        </is>
      </c>
      <c r="B6" s="15" t="inlineStr">
        <is>
          <t>TC-COMP-001</t>
        </is>
      </c>
      <c r="C6" s="15" t="inlineStr">
        <is>
          <t>Student</t>
        </is>
      </c>
      <c r="D6" s="15" t="inlineStr">
        <is>
          <t>No company is live, so Prepare Interviews is empty</t>
        </is>
      </c>
      <c r="E6" s="15" t="inlineStr">
        <is>
          <t>Open /careerpilot/companies as a paid member.</t>
        </is>
      </c>
      <c r="F6" s="15" t="inlineStr">
        <is>
          <t>At least one company listed</t>
        </is>
      </c>
      <c r="G6" s="15" t="inlineStr">
        <is>
          <t>Empty list — all 20 below the readiness bar</t>
        </is>
      </c>
      <c r="H6" s="23" t="inlineStr">
        <is>
          <t>Major</t>
        </is>
      </c>
      <c r="I6" s="15" t="inlineStr">
        <is>
          <t>Open</t>
        </is>
      </c>
      <c r="J6" s="15" t="inlineStr">
        <is>
          <t>Audit</t>
        </is>
      </c>
      <c r="K6" s="15" t="inlineStr">
        <is>
          <t>12-Aug-2026</t>
        </is>
      </c>
      <c r="L6" s="15" t="inlineStr">
        <is>
          <t>Content, not code. Cognizant needs 10 more questions.</t>
        </is>
      </c>
    </row>
    <row r="7">
      <c r="A7" s="24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4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4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4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4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4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4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s="24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</row>
    <row r="17">
      <c r="A17" s="24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</row>
    <row r="18">
      <c r="A18" s="24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</row>
    <row r="19">
      <c r="A19" s="24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4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4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4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4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4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4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4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4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4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4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4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4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4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4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4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4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4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4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4" t="n"/>
      <c r="B41" s="24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4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4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</row>
  </sheetData>
  <autoFilter ref="A1:L45"/>
  <dataValidations count="2">
    <dataValidation sqref="H2:H45" showDropDown="0" showInputMessage="0" showErrorMessage="0" allowBlank="1" type="list">
      <formula1>"Critical,Major,Minor,Cosmetic"</formula1>
    </dataValidation>
    <dataValidation sqref="I2:I45" showDropDown="0" showInputMessage="0" showErrorMessage="0" allowBlank="1" type="list">
      <formula1>"Open,In Progress,Fixed,Retest,Closed,Won't Fix"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B1" s="25" t="inlineStr">
        <is>
          <t>Execution Summary</t>
        </is>
      </c>
    </row>
    <row r="2">
      <c r="B2" s="3" t="inlineStr">
        <is>
          <t>Formulas read the Test Cases sheet. Do not type into the counts.</t>
        </is>
      </c>
    </row>
    <row r="4">
      <c r="B4" s="4" t="inlineStr">
        <is>
          <t>BY RESULT</t>
        </is>
      </c>
    </row>
    <row r="5" ht="30" customHeight="1">
      <c r="A5" s="7" t="n"/>
      <c r="B5" s="26" t="inlineStr">
        <is>
          <t>Total</t>
        </is>
      </c>
      <c r="C5" s="27" t="inlineStr">
        <is>
          <t>Pass</t>
        </is>
      </c>
      <c r="D5" s="27" t="inlineStr">
        <is>
          <t>Fail</t>
        </is>
      </c>
      <c r="E5" s="27" t="inlineStr">
        <is>
          <t>Blocked</t>
        </is>
      </c>
      <c r="F5" s="27" t="inlineStr">
        <is>
          <t>Not Run</t>
        </is>
      </c>
      <c r="G5" s="27" t="inlineStr">
        <is>
          <t>% Executed</t>
        </is>
      </c>
      <c r="H5" s="27" t="inlineStr">
        <is>
          <t>% Passed</t>
        </is>
      </c>
    </row>
    <row r="6">
      <c r="B6" s="28" t="n">
        <v>138</v>
      </c>
      <c r="C6" s="29">
        <f>COUNTIF('Test Cases'!M2:M139,"Pass")</f>
        <v/>
      </c>
      <c r="D6" s="30">
        <f>COUNTIF('Test Cases'!M2:M139,"Fail")</f>
        <v/>
      </c>
      <c r="E6" s="28">
        <f>COUNTIF('Test Cases'!M2:M139,"Blocked")</f>
        <v/>
      </c>
      <c r="F6" s="28">
        <f>B6-C6-D6-E6</f>
        <v/>
      </c>
      <c r="G6" s="31">
        <f>IF(B6=0,0,(C6+D6+E6)/B6)</f>
        <v/>
      </c>
      <c r="H6" s="31">
        <f>IF((C6+D6)=0,0,C6/(C6+D6))</f>
        <v/>
      </c>
    </row>
    <row r="7"/>
    <row r="8"/>
    <row r="9">
      <c r="B9" s="32" t="inlineStr">
        <is>
          <t>BY TYPE</t>
        </is>
      </c>
    </row>
    <row r="10" ht="30" customHeight="1">
      <c r="A10" s="7" t="n"/>
      <c r="B10" s="26" t="inlineStr">
        <is>
          <t>Type</t>
        </is>
      </c>
      <c r="C10" s="27" t="inlineStr">
        <is>
          <t>Total</t>
        </is>
      </c>
      <c r="D10" s="27" t="inlineStr">
        <is>
          <t>Pass</t>
        </is>
      </c>
      <c r="E10" s="27" t="inlineStr">
        <is>
          <t>Fail</t>
        </is>
      </c>
    </row>
    <row r="11">
      <c r="B11" s="33" t="inlineStr">
        <is>
          <t>Positive</t>
        </is>
      </c>
      <c r="C11" s="24">
        <f>COUNTIF('Test Cases'!D2:D139,B11)</f>
        <v/>
      </c>
      <c r="D11" s="24">
        <f>COUNTIFS('Test Cases'!D2:D139,B11,'Test Cases'!M2:M139,"Pass")</f>
        <v/>
      </c>
      <c r="E11" s="24">
        <f>COUNTIFS('Test Cases'!D2:D139,B11,'Test Cases'!M2:M139,"Fail")</f>
        <v/>
      </c>
    </row>
    <row r="12">
      <c r="B12" s="33" t="inlineStr">
        <is>
          <t>Negative</t>
        </is>
      </c>
      <c r="C12" s="24">
        <f>COUNTIF('Test Cases'!D2:D139,B12)</f>
        <v/>
      </c>
      <c r="D12" s="24">
        <f>COUNTIFS('Test Cases'!D2:D139,B12,'Test Cases'!M2:M139,"Pass")</f>
        <v/>
      </c>
      <c r="E12" s="24">
        <f>COUNTIFS('Test Cases'!D2:D139,B12,'Test Cases'!M2:M139,"Fail")</f>
        <v/>
      </c>
    </row>
    <row r="13">
      <c r="B13" s="33" t="inlineStr">
        <is>
          <t>Corner</t>
        </is>
      </c>
      <c r="C13" s="24">
        <f>COUNTIF('Test Cases'!D2:D139,B13)</f>
        <v/>
      </c>
      <c r="D13" s="24">
        <f>COUNTIFS('Test Cases'!D2:D139,B13,'Test Cases'!M2:M139,"Pass")</f>
        <v/>
      </c>
      <c r="E13" s="24">
        <f>COUNTIFS('Test Cases'!D2:D139,B13,'Test Cases'!M2:M139,"Fail")</f>
        <v/>
      </c>
    </row>
    <row r="14"/>
    <row r="15">
      <c r="B15" s="32" t="inlineStr">
        <is>
          <t>BY PRIORITY</t>
        </is>
      </c>
    </row>
    <row r="16" ht="30" customHeight="1">
      <c r="A16" s="7" t="n"/>
      <c r="B16" s="26" t="inlineStr">
        <is>
          <t>Priority</t>
        </is>
      </c>
      <c r="C16" s="27" t="inlineStr">
        <is>
          <t>Total</t>
        </is>
      </c>
      <c r="D16" s="27" t="inlineStr">
        <is>
          <t>Pass</t>
        </is>
      </c>
      <c r="E16" s="27" t="inlineStr">
        <is>
          <t>Fail</t>
        </is>
      </c>
    </row>
    <row r="17">
      <c r="B17" s="33" t="inlineStr">
        <is>
          <t>P0</t>
        </is>
      </c>
      <c r="C17" s="24">
        <f>COUNTIF('Test Cases'!E2:E139,B17)</f>
        <v/>
      </c>
      <c r="D17" s="24">
        <f>COUNTIFS('Test Cases'!E2:E139,B17,'Test Cases'!M2:M139,"Pass")</f>
        <v/>
      </c>
      <c r="E17" s="24">
        <f>COUNTIFS('Test Cases'!E2:E139,B17,'Test Cases'!M2:M139,"Fail")</f>
        <v/>
      </c>
    </row>
    <row r="18">
      <c r="B18" s="33" t="inlineStr">
        <is>
          <t>P1</t>
        </is>
      </c>
      <c r="C18" s="24">
        <f>COUNTIF('Test Cases'!E2:E139,B18)</f>
        <v/>
      </c>
      <c r="D18" s="24">
        <f>COUNTIFS('Test Cases'!E2:E139,B18,'Test Cases'!M2:M139,"Pass")</f>
        <v/>
      </c>
      <c r="E18" s="24">
        <f>COUNTIFS('Test Cases'!E2:E139,B18,'Test Cases'!M2:M139,"Fail")</f>
        <v/>
      </c>
    </row>
    <row r="19">
      <c r="B19" s="33" t="inlineStr">
        <is>
          <t>P2</t>
        </is>
      </c>
      <c r="C19" s="24">
        <f>COUNTIF('Test Cases'!E2:E139,B19)</f>
        <v/>
      </c>
      <c r="D19" s="24">
        <f>COUNTIFS('Test Cases'!E2:E139,B19,'Test Cases'!M2:M139,"Pass")</f>
        <v/>
      </c>
      <c r="E19" s="24">
        <f>COUNTIFS('Test Cases'!E2:E139,B19,'Test Cases'!M2:M139,"Fail")</f>
        <v/>
      </c>
    </row>
    <row r="20"/>
    <row r="21">
      <c r="B21" s="32" t="inlineStr">
        <is>
          <t>BY FEATURE</t>
        </is>
      </c>
    </row>
    <row r="22" ht="30" customHeight="1">
      <c r="A22" s="7" t="n"/>
      <c r="B22" s="26" t="inlineStr">
        <is>
          <t>Feature</t>
        </is>
      </c>
      <c r="C22" s="27" t="inlineStr">
        <is>
          <t>Total</t>
        </is>
      </c>
      <c r="D22" s="27" t="inlineStr">
        <is>
          <t>Pass</t>
        </is>
      </c>
      <c r="E22" s="27" t="inlineStr">
        <is>
          <t>Fail</t>
        </is>
      </c>
    </row>
    <row r="23">
      <c r="B23" s="34" t="inlineStr">
        <is>
          <t>Join, OTP &amp; Login</t>
        </is>
      </c>
      <c r="C23" s="24">
        <f>COUNTIF('Test Cases'!C2:C139,B23)</f>
        <v/>
      </c>
      <c r="D23" s="24">
        <f>COUNTIFS('Test Cases'!C2:C139,B23,'Test Cases'!M2:M139,"Pass")</f>
        <v/>
      </c>
      <c r="E23" s="24">
        <f>COUNTIFS('Test Cases'!C2:C139,B23,'Test Cases'!M2:M139,"Fail")</f>
        <v/>
      </c>
    </row>
    <row r="24">
      <c r="B24" s="34" t="inlineStr">
        <is>
          <t>Career Readiness Assessment</t>
        </is>
      </c>
      <c r="C24" s="24">
        <f>COUNTIF('Test Cases'!C2:C139,B24)</f>
        <v/>
      </c>
      <c r="D24" s="24">
        <f>COUNTIFS('Test Cases'!C2:C139,B24,'Test Cases'!M2:M139,"Pass")</f>
        <v/>
      </c>
      <c r="E24" s="24">
        <f>COUNTIFS('Test Cases'!C2:C139,B24,'Test Cases'!M2:M139,"Fail")</f>
        <v/>
      </c>
    </row>
    <row r="25">
      <c r="B25" s="34" t="inlineStr">
        <is>
          <t>Membership &amp; Payment</t>
        </is>
      </c>
      <c r="C25" s="24">
        <f>COUNTIF('Test Cases'!C2:C139,B25)</f>
        <v/>
      </c>
      <c r="D25" s="24">
        <f>COUNTIFS('Test Cases'!C2:C139,B25,'Test Cases'!M2:M139,"Pass")</f>
        <v/>
      </c>
      <c r="E25" s="24">
        <f>COUNTIFS('Test Cases'!C2:C139,B25,'Test Cases'!M2:M139,"Fail")</f>
        <v/>
      </c>
    </row>
    <row r="26">
      <c r="B26" s="34" t="inlineStr">
        <is>
          <t>Mission Control &amp; Streak</t>
        </is>
      </c>
      <c r="C26" s="24">
        <f>COUNTIF('Test Cases'!C2:C139,B26)</f>
        <v/>
      </c>
      <c r="D26" s="24">
        <f>COUNTIFS('Test Cases'!C2:C139,B26,'Test Cases'!M2:M139,"Pass")</f>
        <v/>
      </c>
      <c r="E26" s="24">
        <f>COUNTIFS('Test Cases'!C2:C139,B26,'Test Cases'!M2:M139,"Fail")</f>
        <v/>
      </c>
    </row>
    <row r="27">
      <c r="B27" s="34" t="inlineStr">
        <is>
          <t>90-Day Roadmap</t>
        </is>
      </c>
      <c r="C27" s="24">
        <f>COUNTIF('Test Cases'!C2:C139,B27)</f>
        <v/>
      </c>
      <c r="D27" s="24">
        <f>COUNTIFS('Test Cases'!C2:C139,B27,'Test Cases'!M2:M139,"Pass")</f>
        <v/>
      </c>
      <c r="E27" s="24">
        <f>COUNTIFS('Test Cases'!C2:C139,B27,'Test Cases'!M2:M139,"Fail")</f>
        <v/>
      </c>
    </row>
    <row r="28">
      <c r="B28" s="34" t="inlineStr">
        <is>
          <t>Practice — Coding, SQL, MCQ</t>
        </is>
      </c>
      <c r="C28" s="24">
        <f>COUNTIF('Test Cases'!C2:C139,B28)</f>
        <v/>
      </c>
      <c r="D28" s="24">
        <f>COUNTIFS('Test Cases'!C2:C139,B28,'Test Cases'!M2:M139,"Pass")</f>
        <v/>
      </c>
      <c r="E28" s="24">
        <f>COUNTIFS('Test Cases'!C2:C139,B28,'Test Cases'!M2:M139,"Fail")</f>
        <v/>
      </c>
    </row>
    <row r="29">
      <c r="B29" s="34" t="inlineStr">
        <is>
          <t>Resume Centre</t>
        </is>
      </c>
      <c r="C29" s="24">
        <f>COUNTIF('Test Cases'!C2:C139,B29)</f>
        <v/>
      </c>
      <c r="D29" s="24">
        <f>COUNTIFS('Test Cases'!C2:C139,B29,'Test Cases'!M2:M139,"Pass")</f>
        <v/>
      </c>
      <c r="E29" s="24">
        <f>COUNTIFS('Test Cases'!C2:C139,B29,'Test Cases'!M2:M139,"Fail")</f>
        <v/>
      </c>
    </row>
    <row r="30">
      <c r="B30" s="34" t="inlineStr">
        <is>
          <t>AI Mock Interview</t>
        </is>
      </c>
      <c r="C30" s="24">
        <f>COUNTIF('Test Cases'!C2:C139,B30)</f>
        <v/>
      </c>
      <c r="D30" s="24">
        <f>COUNTIFS('Test Cases'!C2:C139,B30,'Test Cases'!M2:M139,"Pass")</f>
        <v/>
      </c>
      <c r="E30" s="24">
        <f>COUNTIFS('Test Cases'!C2:C139,B30,'Test Cases'!M2:M139,"Fail")</f>
        <v/>
      </c>
    </row>
    <row r="31">
      <c r="B31" s="34" t="inlineStr">
        <is>
          <t>Prepare Interviews — Company Hub</t>
        </is>
      </c>
      <c r="C31" s="24">
        <f>COUNTIF('Test Cases'!C2:C139,B31)</f>
        <v/>
      </c>
      <c r="D31" s="24">
        <f>COUNTIFS('Test Cases'!C2:C139,B31,'Test Cases'!M2:M139,"Pass")</f>
        <v/>
      </c>
      <c r="E31" s="24">
        <f>COUNTIFS('Test Cases'!C2:C139,B31,'Test Cases'!M2:M139,"Fail")</f>
        <v/>
      </c>
    </row>
    <row r="32">
      <c r="B32" s="34" t="inlineStr">
        <is>
          <t>Company Mock Test</t>
        </is>
      </c>
      <c r="C32" s="24">
        <f>COUNTIF('Test Cases'!C2:C139,B32)</f>
        <v/>
      </c>
      <c r="D32" s="24">
        <f>COUNTIFS('Test Cases'!C2:C139,B32,'Test Cases'!M2:M139,"Pass")</f>
        <v/>
      </c>
      <c r="E32" s="24">
        <f>COUNTIFS('Test Cases'!C2:C139,B32,'Test Cases'!M2:M139,"Fail")</f>
        <v/>
      </c>
    </row>
    <row r="33">
      <c r="B33" s="34" t="inlineStr">
        <is>
          <t>Tech News</t>
        </is>
      </c>
      <c r="C33" s="24">
        <f>COUNTIF('Test Cases'!C2:C139,B33)</f>
        <v/>
      </c>
      <c r="D33" s="24">
        <f>COUNTIFS('Test Cases'!C2:C139,B33,'Test Cases'!M2:M139,"Pass")</f>
        <v/>
      </c>
      <c r="E33" s="24">
        <f>COUNTIFS('Test Cases'!C2:C139,B33,'Test Cases'!M2:M139,"Fail")</f>
        <v/>
      </c>
    </row>
    <row r="34">
      <c r="B34" s="34" t="inlineStr">
        <is>
          <t>Coins, XP &amp; Leaderboard</t>
        </is>
      </c>
      <c r="C34" s="24">
        <f>COUNTIF('Test Cases'!C2:C139,B34)</f>
        <v/>
      </c>
      <c r="D34" s="24">
        <f>COUNTIFS('Test Cases'!C2:C139,B34,'Test Cases'!M2:M139,"Pass")</f>
        <v/>
      </c>
      <c r="E34" s="24">
        <f>COUNTIFS('Test Cases'!C2:C139,B34,'Test Cases'!M2:M139,"Fail")</f>
        <v/>
      </c>
    </row>
    <row r="35">
      <c r="B35" s="34" t="inlineStr">
        <is>
          <t>Public Passport Card</t>
        </is>
      </c>
      <c r="C35" s="24">
        <f>COUNTIF('Test Cases'!C2:C139,B35)</f>
        <v/>
      </c>
      <c r="D35" s="24">
        <f>COUNTIFS('Test Cases'!C2:C139,B35,'Test Cases'!M2:M139,"Pass")</f>
        <v/>
      </c>
      <c r="E35" s="24">
        <f>COUNTIFS('Test Cases'!C2:C139,B35,'Test Cases'!M2:M139,"Fail")</f>
        <v/>
      </c>
    </row>
    <row r="36">
      <c r="B36" s="34" t="inlineStr">
        <is>
          <t>Plan &amp; Entitlements Config</t>
        </is>
      </c>
      <c r="C36" s="24">
        <f>COUNTIF('Test Cases'!C2:C139,B36)</f>
        <v/>
      </c>
      <c r="D36" s="24">
        <f>COUNTIFS('Test Cases'!C2:C139,B36,'Test Cases'!M2:M139,"Pass")</f>
        <v/>
      </c>
      <c r="E36" s="24">
        <f>COUNTIFS('Test Cases'!C2:C139,B36,'Test Cases'!M2:M139,"Fail")</f>
        <v/>
      </c>
    </row>
    <row r="37">
      <c r="B37" s="34" t="inlineStr">
        <is>
          <t>Assessment Builder &amp; Paper Design</t>
        </is>
      </c>
      <c r="C37" s="24">
        <f>COUNTIF('Test Cases'!C2:C139,B37)</f>
        <v/>
      </c>
      <c r="D37" s="24">
        <f>COUNTIFS('Test Cases'!C2:C139,B37,'Test Cases'!M2:M139,"Pass")</f>
        <v/>
      </c>
      <c r="E37" s="24">
        <f>COUNTIFS('Test Cases'!C2:C139,B37,'Test Cases'!M2:M139,"Fail")</f>
        <v/>
      </c>
    </row>
    <row r="38">
      <c r="B38" s="34" t="inlineStr">
        <is>
          <t>Pathways &amp; Missions</t>
        </is>
      </c>
      <c r="C38" s="24">
        <f>COUNTIF('Test Cases'!C2:C139,B38)</f>
        <v/>
      </c>
      <c r="D38" s="24">
        <f>COUNTIFS('Test Cases'!C2:C139,B38,'Test Cases'!M2:M139,"Pass")</f>
        <v/>
      </c>
      <c r="E38" s="24">
        <f>COUNTIFS('Test Cases'!C2:C139,B38,'Test Cases'!M2:M139,"Fail")</f>
        <v/>
      </c>
    </row>
    <row r="39">
      <c r="B39" s="34" t="inlineStr">
        <is>
          <t>Members Admin</t>
        </is>
      </c>
      <c r="C39" s="24">
        <f>COUNTIF('Test Cases'!C2:C139,B39)</f>
        <v/>
      </c>
      <c r="D39" s="24">
        <f>COUNTIFS('Test Cases'!C2:C139,B39,'Test Cases'!M2:M139,"Pass")</f>
        <v/>
      </c>
      <c r="E39" s="24">
        <f>COUNTIFS('Test Cases'!C2:C139,B39,'Test Cases'!M2:M139,"Fail")</f>
        <v/>
      </c>
    </row>
    <row r="40">
      <c r="B40" s="34" t="inlineStr">
        <is>
          <t>Company Roster &amp; Content</t>
        </is>
      </c>
      <c r="C40" s="24">
        <f>COUNTIF('Test Cases'!C2:C139,B40)</f>
        <v/>
      </c>
      <c r="D40" s="24">
        <f>COUNTIFS('Test Cases'!C2:C139,B40,'Test Cases'!M2:M139,"Pass")</f>
        <v/>
      </c>
      <c r="E40" s="24">
        <f>COUNTIFS('Test Cases'!C2:C139,B40,'Test Cases'!M2:M139,"Fail")</f>
        <v/>
      </c>
    </row>
    <row r="41">
      <c r="B41" s="34" t="inlineStr">
        <is>
          <t>Tech News Admin</t>
        </is>
      </c>
      <c r="C41" s="24">
        <f>COUNTIF('Test Cases'!C2:C139,B41)</f>
        <v/>
      </c>
      <c r="D41" s="24">
        <f>COUNTIFS('Test Cases'!C2:C139,B41,'Test Cases'!M2:M139,"Pass")</f>
        <v/>
      </c>
      <c r="E41" s="24">
        <f>COUNTIFS('Test Cases'!C2:C139,B41,'Test Cases'!M2:M139,"Fail")</f>
        <v/>
      </c>
    </row>
    <row r="42">
      <c r="B42" s="34" t="inlineStr">
        <is>
          <t>Coins Admin</t>
        </is>
      </c>
      <c r="C42" s="24">
        <f>COUNTIF('Test Cases'!C2:C139,B42)</f>
        <v/>
      </c>
      <c r="D42" s="24">
        <f>COUNTIFS('Test Cases'!C2:C139,B42,'Test Cases'!M2:M139,"Pass")</f>
        <v/>
      </c>
      <c r="E42" s="24">
        <f>COUNTIFS('Test Cases'!C2:C139,B42,'Test Cases'!M2:M139,"Fail")</f>
        <v/>
      </c>
    </row>
    <row r="43">
      <c r="B43" s="34" t="inlineStr">
        <is>
          <t>Staging Board</t>
        </is>
      </c>
      <c r="C43" s="24">
        <f>COUNTIF('Test Cases'!C2:C139,B43)</f>
        <v/>
      </c>
      <c r="D43" s="24">
        <f>COUNTIFS('Test Cases'!C2:C139,B43,'Test Cases'!M2:M139,"Pass")</f>
        <v/>
      </c>
      <c r="E43" s="24">
        <f>COUNTIFS('Test Cases'!C2:C139,B43,'Test Cases'!M2:M139,"Fail")</f>
        <v/>
      </c>
    </row>
    <row r="44">
      <c r="B44" s="34" t="inlineStr">
        <is>
          <t>Cross-cutting — Access &amp; Security</t>
        </is>
      </c>
      <c r="C44" s="24">
        <f>COUNTIF('Test Cases'!C2:C139,B44)</f>
        <v/>
      </c>
      <c r="D44" s="24">
        <f>COUNTIFS('Test Cases'!C2:C139,B44,'Test Cases'!M2:M139,"Pass")</f>
        <v/>
      </c>
      <c r="E44" s="24">
        <f>COUNTIFS('Test Cases'!C2:C139,B44,'Test Cases'!M2:M139,"Fail")</f>
        <v/>
      </c>
    </row>
    <row r="45">
      <c r="B45" s="34" t="inlineStr">
        <is>
          <t>Cross-cutting — Mobile</t>
        </is>
      </c>
      <c r="C45" s="24">
        <f>COUNTIF('Test Cases'!C2:C139,B45)</f>
        <v/>
      </c>
      <c r="D45" s="24">
        <f>COUNTIFS('Test Cases'!C2:C139,B45,'Test Cases'!M2:M139,"Pass")</f>
        <v/>
      </c>
      <c r="E45" s="24">
        <f>COUNTIFS('Test Cases'!C2:C139,B45,'Test Cases'!M2:M139,"Fail")</f>
        <v/>
      </c>
    </row>
    <row r="4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2026-08-12T03:39:58Z</dcterms:created>
  <dcterms:modified xsi:type="dcterms:W3CDTF">2026-08-12T03:39:58Z</dcterms:modified>
</cp:coreProperties>
</file>